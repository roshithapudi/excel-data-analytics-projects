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6ca699274148b6/Documents/Data Analytics Journey/excel projecttts/ZeTheta Projects/HR Analytics for Insurance/"/>
    </mc:Choice>
  </mc:AlternateContent>
  <xr:revisionPtr revIDLastSave="988" documentId="8_{69DCE418-E889-47A7-873D-59324FD05B9A}" xr6:coauthVersionLast="47" xr6:coauthVersionMax="47" xr10:uidLastSave="{1E5C35F7-37E3-458F-9ACB-DB1CE7F3F261}"/>
  <bookViews>
    <workbookView xWindow="-110" yWindow="-110" windowWidth="19420" windowHeight="10300" firstSheet="1" activeTab="1" xr2:uid="{F17902BF-7B40-45E7-B4EC-457066B8B86D}"/>
  </bookViews>
  <sheets>
    <sheet name="Agent Master" sheetId="1" r:id="rId1"/>
    <sheet name="Activity Log" sheetId="2" r:id="rId2"/>
    <sheet name="Insight → Action" sheetId="6" r:id="rId3"/>
    <sheet name="Retention" sheetId="4" r:id="rId4"/>
    <sheet name="Performance" sheetId="3" r:id="rId5"/>
    <sheet name="Dashboard" sheetId="5" r:id="rId6"/>
  </sheets>
  <calcPr calcId="191029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" i="5" l="1"/>
  <c r="AB6" i="5"/>
  <c r="J5" i="3" l="1"/>
  <c r="J4" i="3"/>
  <c r="J3" i="3"/>
  <c r="E3" i="3"/>
  <c r="E2" i="3"/>
  <c r="H11" i="4"/>
  <c r="H10" i="4"/>
  <c r="B7" i="4"/>
  <c r="D7" i="4" s="1"/>
  <c r="B2" i="4"/>
  <c r="D2" i="4" s="1"/>
  <c r="B3" i="4"/>
  <c r="D3" i="4" s="1"/>
  <c r="B4" i="4"/>
  <c r="D4" i="4" s="1"/>
  <c r="B5" i="4"/>
  <c r="D5" i="4" s="1"/>
  <c r="B6" i="4"/>
  <c r="D6" i="4" s="1"/>
  <c r="B8" i="4"/>
  <c r="D8" i="4" s="1"/>
  <c r="B9" i="4"/>
  <c r="D9" i="4" s="1"/>
  <c r="B10" i="4"/>
  <c r="D10" i="4" s="1"/>
  <c r="B11" i="4"/>
  <c r="D11" i="4" s="1"/>
  <c r="B12" i="4"/>
  <c r="D12" i="4" s="1"/>
  <c r="B13" i="4"/>
  <c r="D13" i="4" s="1"/>
  <c r="B14" i="4"/>
  <c r="D14" i="4" s="1"/>
  <c r="B15" i="4"/>
  <c r="D15" i="4" s="1"/>
  <c r="B16" i="4"/>
  <c r="D16" i="4" s="1"/>
  <c r="B17" i="4"/>
  <c r="D17" i="4" s="1"/>
  <c r="B18" i="4"/>
  <c r="D18" i="4" s="1"/>
  <c r="B19" i="4"/>
  <c r="D19" i="4" s="1"/>
  <c r="B20" i="4"/>
  <c r="D20" i="4" s="1"/>
  <c r="B21" i="4"/>
  <c r="D21" i="4" s="1"/>
  <c r="B22" i="4"/>
  <c r="D22" i="4" s="1"/>
  <c r="B23" i="4"/>
  <c r="D23" i="4" s="1"/>
  <c r="B24" i="4"/>
  <c r="D24" i="4" s="1"/>
  <c r="B25" i="4"/>
  <c r="D25" i="4" s="1"/>
  <c r="B26" i="4"/>
  <c r="D26" i="4" s="1"/>
  <c r="B27" i="4"/>
  <c r="D27" i="4" s="1"/>
  <c r="B28" i="4"/>
  <c r="D28" i="4" s="1"/>
  <c r="B29" i="4"/>
  <c r="D29" i="4" s="1"/>
  <c r="B30" i="4"/>
  <c r="D30" i="4" s="1"/>
  <c r="B31" i="4"/>
  <c r="D31" i="4" s="1"/>
  <c r="B32" i="4"/>
  <c r="D32" i="4" s="1"/>
  <c r="B33" i="4"/>
  <c r="D33" i="4" s="1"/>
  <c r="B34" i="4"/>
  <c r="D34" i="4" s="1"/>
  <c r="B35" i="4"/>
  <c r="D35" i="4" s="1"/>
  <c r="B36" i="4"/>
  <c r="D36" i="4" s="1"/>
  <c r="B37" i="4"/>
  <c r="D37" i="4" s="1"/>
  <c r="B38" i="4"/>
  <c r="D38" i="4" s="1"/>
  <c r="B39" i="4"/>
  <c r="D39" i="4" s="1"/>
  <c r="B40" i="4"/>
  <c r="D40" i="4" s="1"/>
  <c r="B41" i="4"/>
  <c r="D41" i="4" s="1"/>
  <c r="B42" i="4"/>
  <c r="D42" i="4" s="1"/>
  <c r="B43" i="4"/>
  <c r="D43" i="4" s="1"/>
  <c r="B44" i="4"/>
  <c r="D44" i="4" s="1"/>
  <c r="B45" i="4"/>
  <c r="D45" i="4" s="1"/>
  <c r="B46" i="4"/>
  <c r="D46" i="4" s="1"/>
  <c r="B47" i="4"/>
  <c r="D47" i="4" s="1"/>
  <c r="B48" i="4"/>
  <c r="D48" i="4" s="1"/>
  <c r="B49" i="4"/>
  <c r="D49" i="4" s="1"/>
  <c r="B50" i="4"/>
  <c r="D50" i="4" s="1"/>
  <c r="B51" i="4"/>
  <c r="D51" i="4" s="1"/>
  <c r="B52" i="4"/>
  <c r="D52" i="4" s="1"/>
  <c r="B53" i="4"/>
  <c r="D53" i="4" s="1"/>
  <c r="B54" i="4"/>
  <c r="D54" i="4" s="1"/>
  <c r="B55" i="4"/>
  <c r="D55" i="4" s="1"/>
  <c r="B56" i="4"/>
  <c r="D56" i="4" s="1"/>
  <c r="B57" i="4"/>
  <c r="D57" i="4" s="1"/>
  <c r="B58" i="4"/>
  <c r="D58" i="4" s="1"/>
  <c r="B59" i="4"/>
  <c r="D59" i="4" s="1"/>
  <c r="B60" i="4"/>
  <c r="D60" i="4" s="1"/>
  <c r="B61" i="4"/>
  <c r="D61" i="4" s="1"/>
  <c r="B62" i="4"/>
  <c r="D62" i="4" s="1"/>
  <c r="B63" i="4"/>
  <c r="D63" i="4" s="1"/>
  <c r="B64" i="4"/>
  <c r="D64" i="4" s="1"/>
  <c r="B65" i="4"/>
  <c r="D65" i="4" s="1"/>
  <c r="B66" i="4"/>
  <c r="D66" i="4" s="1"/>
  <c r="B67" i="4"/>
  <c r="D67" i="4" s="1"/>
  <c r="B68" i="4"/>
  <c r="D68" i="4" s="1"/>
  <c r="B69" i="4"/>
  <c r="D69" i="4" s="1"/>
  <c r="B70" i="4"/>
  <c r="D70" i="4" s="1"/>
  <c r="B71" i="4"/>
  <c r="D71" i="4" s="1"/>
  <c r="B72" i="4"/>
  <c r="D72" i="4" s="1"/>
  <c r="B73" i="4"/>
  <c r="D73" i="4" s="1"/>
  <c r="B74" i="4"/>
  <c r="D74" i="4" s="1"/>
  <c r="B75" i="4"/>
  <c r="D75" i="4" s="1"/>
  <c r="B76" i="4"/>
  <c r="D76" i="4" s="1"/>
  <c r="B77" i="4"/>
  <c r="D77" i="4" s="1"/>
  <c r="B78" i="4"/>
  <c r="D78" i="4" s="1"/>
  <c r="B79" i="4"/>
  <c r="D79" i="4" s="1"/>
  <c r="B80" i="4"/>
  <c r="D80" i="4" s="1"/>
  <c r="B81" i="4"/>
  <c r="D81" i="4" s="1"/>
  <c r="B82" i="4"/>
  <c r="D82" i="4" s="1"/>
  <c r="B83" i="4"/>
  <c r="D83" i="4" s="1"/>
  <c r="B84" i="4"/>
  <c r="D84" i="4" s="1"/>
  <c r="B85" i="4"/>
  <c r="D85" i="4" s="1"/>
  <c r="B86" i="4"/>
  <c r="D86" i="4" s="1"/>
  <c r="B87" i="4"/>
  <c r="D87" i="4" s="1"/>
  <c r="B88" i="4"/>
  <c r="D88" i="4" s="1"/>
  <c r="B89" i="4"/>
  <c r="D89" i="4" s="1"/>
  <c r="B90" i="4"/>
  <c r="D90" i="4" s="1"/>
  <c r="B91" i="4"/>
  <c r="D91" i="4" s="1"/>
  <c r="B92" i="4"/>
  <c r="D92" i="4" s="1"/>
  <c r="B93" i="4"/>
  <c r="D93" i="4" s="1"/>
  <c r="B94" i="4"/>
  <c r="D94" i="4" s="1"/>
  <c r="B95" i="4"/>
  <c r="D95" i="4" s="1"/>
  <c r="B96" i="4"/>
  <c r="D96" i="4" s="1"/>
  <c r="B97" i="4"/>
  <c r="D97" i="4" s="1"/>
  <c r="B98" i="4"/>
  <c r="D98" i="4" s="1"/>
  <c r="B99" i="4"/>
  <c r="D99" i="4" s="1"/>
  <c r="B100" i="4"/>
  <c r="D100" i="4" s="1"/>
  <c r="B101" i="4"/>
  <c r="D101" i="4" s="1"/>
  <c r="B102" i="4"/>
  <c r="D102" i="4" s="1"/>
  <c r="B103" i="4"/>
  <c r="D103" i="4" s="1"/>
  <c r="B104" i="4"/>
  <c r="D104" i="4" s="1"/>
  <c r="B105" i="4"/>
  <c r="D105" i="4" s="1"/>
  <c r="B106" i="4"/>
  <c r="D106" i="4" s="1"/>
  <c r="B107" i="4"/>
  <c r="D107" i="4" s="1"/>
  <c r="B108" i="4"/>
  <c r="D108" i="4" s="1"/>
  <c r="B109" i="4"/>
  <c r="D109" i="4" s="1"/>
  <c r="B110" i="4"/>
  <c r="D110" i="4" s="1"/>
  <c r="B111" i="4"/>
  <c r="D111" i="4" s="1"/>
  <c r="B112" i="4"/>
  <c r="D112" i="4" s="1"/>
  <c r="B113" i="4"/>
  <c r="D113" i="4" s="1"/>
  <c r="B114" i="4"/>
  <c r="D114" i="4" s="1"/>
  <c r="B115" i="4"/>
  <c r="D115" i="4" s="1"/>
  <c r="B116" i="4"/>
  <c r="D116" i="4" s="1"/>
  <c r="B117" i="4"/>
  <c r="D117" i="4" s="1"/>
  <c r="B118" i="4"/>
  <c r="D118" i="4" s="1"/>
  <c r="B119" i="4"/>
  <c r="D119" i="4" s="1"/>
  <c r="B120" i="4"/>
  <c r="D120" i="4" s="1"/>
  <c r="B121" i="4"/>
  <c r="D121" i="4" s="1"/>
  <c r="B122" i="4"/>
  <c r="D122" i="4" s="1"/>
  <c r="B123" i="4"/>
  <c r="D123" i="4" s="1"/>
  <c r="B124" i="4"/>
  <c r="D124" i="4" s="1"/>
  <c r="B125" i="4"/>
  <c r="D125" i="4" s="1"/>
  <c r="B126" i="4"/>
  <c r="D126" i="4" s="1"/>
  <c r="B127" i="4"/>
  <c r="D127" i="4" s="1"/>
  <c r="B128" i="4"/>
  <c r="D128" i="4" s="1"/>
  <c r="B129" i="4"/>
  <c r="D129" i="4" s="1"/>
  <c r="B130" i="4"/>
  <c r="D130" i="4" s="1"/>
  <c r="B131" i="4"/>
  <c r="D131" i="4" s="1"/>
  <c r="C2" i="4"/>
  <c r="C100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F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2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" i="2"/>
  <c r="C4" i="2"/>
  <c r="C5" i="2"/>
  <c r="C6" i="2"/>
  <c r="C7" i="2"/>
  <c r="C8" i="2"/>
  <c r="C9" i="2"/>
  <c r="C10" i="2"/>
  <c r="C11" i="2"/>
  <c r="C12" i="2"/>
  <c r="C13" i="2"/>
  <c r="C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52" i="2"/>
  <c r="D54" i="2"/>
  <c r="H54" i="2" s="1"/>
  <c r="D55" i="2"/>
  <c r="H55" i="2" s="1"/>
  <c r="D56" i="2"/>
  <c r="H56" i="2" s="1"/>
  <c r="D57" i="2"/>
  <c r="H57" i="2" s="1"/>
  <c r="D58" i="2"/>
  <c r="H58" i="2" s="1"/>
  <c r="D59" i="2"/>
  <c r="H59" i="2" s="1"/>
  <c r="D60" i="2"/>
  <c r="H60" i="2" s="1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G55" i="3" l="1"/>
  <c r="G54" i="3"/>
  <c r="G42" i="3"/>
  <c r="G30" i="3"/>
  <c r="G41" i="3"/>
  <c r="G29" i="3"/>
  <c r="G40" i="3"/>
  <c r="G28" i="3"/>
  <c r="G39" i="3"/>
  <c r="G27" i="3"/>
  <c r="G38" i="3"/>
  <c r="G26" i="3"/>
  <c r="G37" i="3"/>
  <c r="G47" i="3"/>
  <c r="G46" i="3"/>
  <c r="G34" i="3"/>
  <c r="G33" i="3"/>
  <c r="G44" i="3"/>
  <c r="G31" i="3"/>
  <c r="G53" i="3"/>
  <c r="G36" i="3"/>
  <c r="G35" i="3"/>
  <c r="G45" i="3"/>
  <c r="G32" i="3"/>
  <c r="G43" i="3"/>
  <c r="G52" i="3"/>
  <c r="G51" i="3"/>
  <c r="G50" i="3"/>
  <c r="G49" i="3"/>
  <c r="G48" i="3"/>
  <c r="C4" i="3"/>
  <c r="C27" i="3"/>
  <c r="C26" i="3"/>
  <c r="C25" i="3"/>
  <c r="C24" i="3"/>
  <c r="C23" i="3"/>
  <c r="C15" i="3"/>
  <c r="C14" i="3"/>
  <c r="C13" i="3"/>
  <c r="C12" i="3"/>
  <c r="C11" i="3"/>
  <c r="C10" i="3"/>
  <c r="C3" i="3"/>
  <c r="C21" i="3"/>
  <c r="C9" i="3"/>
  <c r="C22" i="3"/>
  <c r="C32" i="3"/>
  <c r="C20" i="3"/>
  <c r="C8" i="3"/>
  <c r="C31" i="3"/>
  <c r="C19" i="3"/>
  <c r="C7" i="3"/>
  <c r="C30" i="3"/>
  <c r="C18" i="3"/>
  <c r="C6" i="3"/>
  <c r="C29" i="3"/>
  <c r="C17" i="3"/>
  <c r="C5" i="3"/>
  <c r="C28" i="3"/>
  <c r="C16" i="3"/>
  <c r="H123" i="2"/>
  <c r="H111" i="2"/>
  <c r="H99" i="2"/>
  <c r="H87" i="2"/>
  <c r="H75" i="2"/>
  <c r="H27" i="2"/>
  <c r="H15" i="2"/>
  <c r="J45" i="2"/>
  <c r="J44" i="2"/>
  <c r="J32" i="2"/>
  <c r="J20" i="2"/>
  <c r="J8" i="2"/>
  <c r="I52" i="2"/>
  <c r="J118" i="2"/>
  <c r="J94" i="2"/>
  <c r="J70" i="2"/>
  <c r="J129" i="2"/>
  <c r="J105" i="2"/>
  <c r="J81" i="2"/>
  <c r="J57" i="2"/>
  <c r="H125" i="2"/>
  <c r="H113" i="2"/>
  <c r="H101" i="2"/>
  <c r="H89" i="2"/>
  <c r="H65" i="2"/>
  <c r="H29" i="2"/>
  <c r="H17" i="2"/>
  <c r="J130" i="2"/>
  <c r="J106" i="2"/>
  <c r="J82" i="2"/>
  <c r="J58" i="2"/>
  <c r="J117" i="2"/>
  <c r="J93" i="2"/>
  <c r="J69" i="2"/>
  <c r="H63" i="2"/>
  <c r="J41" i="2"/>
  <c r="J29" i="2"/>
  <c r="J17" i="2"/>
  <c r="J5" i="2"/>
  <c r="H122" i="2"/>
  <c r="H110" i="2"/>
  <c r="H98" i="2"/>
  <c r="H86" i="2"/>
  <c r="H74" i="2"/>
  <c r="H62" i="2"/>
  <c r="H26" i="2"/>
  <c r="H14" i="2"/>
  <c r="H120" i="2"/>
  <c r="J128" i="2"/>
  <c r="J116" i="2"/>
  <c r="J104" i="2"/>
  <c r="J92" i="2"/>
  <c r="J80" i="2"/>
  <c r="J68" i="2"/>
  <c r="J56" i="2"/>
  <c r="J43" i="2"/>
  <c r="J31" i="2"/>
  <c r="J19" i="2"/>
  <c r="J7" i="2"/>
  <c r="J42" i="2"/>
  <c r="J30" i="2"/>
  <c r="J18" i="2"/>
  <c r="J6" i="2"/>
  <c r="J131" i="2"/>
  <c r="J119" i="2"/>
  <c r="J107" i="2"/>
  <c r="J95" i="2"/>
  <c r="J83" i="2"/>
  <c r="J71" i="2"/>
  <c r="J59" i="2"/>
  <c r="H130" i="2"/>
  <c r="H118" i="2"/>
  <c r="H106" i="2"/>
  <c r="H94" i="2"/>
  <c r="H82" i="2"/>
  <c r="H70" i="2"/>
  <c r="H22" i="2"/>
  <c r="J33" i="2"/>
  <c r="J21" i="2"/>
  <c r="J9" i="2"/>
  <c r="J123" i="2"/>
  <c r="J111" i="2"/>
  <c r="J99" i="2"/>
  <c r="J87" i="2"/>
  <c r="J75" i="2"/>
  <c r="J63" i="2"/>
  <c r="J2" i="2"/>
  <c r="J40" i="2"/>
  <c r="J28" i="2"/>
  <c r="J16" i="2"/>
  <c r="J4" i="2"/>
  <c r="J122" i="2"/>
  <c r="J110" i="2"/>
  <c r="J98" i="2"/>
  <c r="J86" i="2"/>
  <c r="J74" i="2"/>
  <c r="J62" i="2"/>
  <c r="J51" i="2"/>
  <c r="J39" i="2"/>
  <c r="J27" i="2"/>
  <c r="J15" i="2"/>
  <c r="J3" i="2"/>
  <c r="J121" i="2"/>
  <c r="J109" i="2"/>
  <c r="J97" i="2"/>
  <c r="J85" i="2"/>
  <c r="J73" i="2"/>
  <c r="J61" i="2"/>
  <c r="J48" i="2"/>
  <c r="J36" i="2"/>
  <c r="J24" i="2"/>
  <c r="J12" i="2"/>
  <c r="J52" i="2"/>
  <c r="J120" i="2"/>
  <c r="J108" i="2"/>
  <c r="J96" i="2"/>
  <c r="J84" i="2"/>
  <c r="J72" i="2"/>
  <c r="J60" i="2"/>
  <c r="J47" i="2"/>
  <c r="J35" i="2"/>
  <c r="J23" i="2"/>
  <c r="J11" i="2"/>
  <c r="J49" i="2"/>
  <c r="J37" i="2"/>
  <c r="J25" i="2"/>
  <c r="J13" i="2"/>
  <c r="J50" i="2"/>
  <c r="J38" i="2"/>
  <c r="J26" i="2"/>
  <c r="J14" i="2"/>
  <c r="J46" i="2"/>
  <c r="J34" i="2"/>
  <c r="J22" i="2"/>
  <c r="J10" i="2"/>
  <c r="J127" i="2"/>
  <c r="J115" i="2"/>
  <c r="J103" i="2"/>
  <c r="J91" i="2"/>
  <c r="J79" i="2"/>
  <c r="J67" i="2"/>
  <c r="J55" i="2"/>
  <c r="J126" i="2"/>
  <c r="J114" i="2"/>
  <c r="J102" i="2"/>
  <c r="J90" i="2"/>
  <c r="J78" i="2"/>
  <c r="J66" i="2"/>
  <c r="J54" i="2"/>
  <c r="H12" i="2"/>
  <c r="J125" i="2"/>
  <c r="J113" i="2"/>
  <c r="J101" i="2"/>
  <c r="J89" i="2"/>
  <c r="J77" i="2"/>
  <c r="J65" i="2"/>
  <c r="J53" i="2"/>
  <c r="H11" i="2"/>
  <c r="J124" i="2"/>
  <c r="J112" i="2"/>
  <c r="J100" i="2"/>
  <c r="J88" i="2"/>
  <c r="J76" i="2"/>
  <c r="J64" i="2"/>
  <c r="H127" i="2"/>
  <c r="H121" i="2"/>
  <c r="H109" i="2"/>
  <c r="H97" i="2"/>
  <c r="H85" i="2"/>
  <c r="H73" i="2"/>
  <c r="H61" i="2"/>
  <c r="H25" i="2"/>
  <c r="H108" i="2"/>
  <c r="H96" i="2"/>
  <c r="H84" i="2"/>
  <c r="H72" i="2"/>
  <c r="H24" i="2"/>
  <c r="H35" i="2"/>
  <c r="I25" i="2"/>
  <c r="I13" i="2"/>
  <c r="I45" i="2"/>
  <c r="I33" i="2"/>
  <c r="I21" i="2"/>
  <c r="I9" i="2"/>
  <c r="I109" i="2"/>
  <c r="I97" i="2"/>
  <c r="I85" i="2"/>
  <c r="I61" i="2"/>
  <c r="I120" i="2"/>
  <c r="I96" i="2"/>
  <c r="I84" i="2"/>
  <c r="H124" i="2"/>
  <c r="H112" i="2"/>
  <c r="H100" i="2"/>
  <c r="H88" i="2"/>
  <c r="H76" i="2"/>
  <c r="H64" i="2"/>
  <c r="I131" i="2"/>
  <c r="I119" i="2"/>
  <c r="I107" i="2"/>
  <c r="I95" i="2"/>
  <c r="I83" i="2"/>
  <c r="I59" i="2"/>
  <c r="H28" i="2"/>
  <c r="H16" i="2"/>
  <c r="I44" i="2"/>
  <c r="I32" i="2"/>
  <c r="I20" i="2"/>
  <c r="I8" i="2"/>
  <c r="I43" i="2"/>
  <c r="I31" i="2"/>
  <c r="I19" i="2"/>
  <c r="I7" i="2"/>
  <c r="I42" i="2"/>
  <c r="I30" i="2"/>
  <c r="I18" i="2"/>
  <c r="I6" i="2"/>
  <c r="H50" i="2"/>
  <c r="I2" i="2"/>
  <c r="H49" i="2"/>
  <c r="H37" i="2"/>
  <c r="H48" i="2"/>
  <c r="H36" i="2"/>
  <c r="H47" i="2"/>
  <c r="I49" i="2"/>
  <c r="I37" i="2"/>
  <c r="I29" i="2"/>
  <c r="I40" i="2"/>
  <c r="H13" i="2"/>
  <c r="I3" i="2"/>
  <c r="I121" i="2"/>
  <c r="I38" i="2"/>
  <c r="I72" i="2"/>
  <c r="H119" i="2"/>
  <c r="H71" i="2"/>
  <c r="I125" i="2"/>
  <c r="I89" i="2"/>
  <c r="I53" i="2"/>
  <c r="H23" i="2"/>
  <c r="H10" i="2"/>
  <c r="I48" i="2"/>
  <c r="I36" i="2"/>
  <c r="I24" i="2"/>
  <c r="I12" i="2"/>
  <c r="H51" i="2"/>
  <c r="I17" i="2"/>
  <c r="I16" i="2"/>
  <c r="I27" i="2"/>
  <c r="I73" i="2"/>
  <c r="I14" i="2"/>
  <c r="I71" i="2"/>
  <c r="H107" i="2"/>
  <c r="H95" i="2"/>
  <c r="I101" i="2"/>
  <c r="I65" i="2"/>
  <c r="H129" i="2"/>
  <c r="H117" i="2"/>
  <c r="H105" i="2"/>
  <c r="H93" i="2"/>
  <c r="H81" i="2"/>
  <c r="H69" i="2"/>
  <c r="I124" i="2"/>
  <c r="I112" i="2"/>
  <c r="I100" i="2"/>
  <c r="I88" i="2"/>
  <c r="I76" i="2"/>
  <c r="I64" i="2"/>
  <c r="H21" i="2"/>
  <c r="H9" i="2"/>
  <c r="I47" i="2"/>
  <c r="I35" i="2"/>
  <c r="I23" i="2"/>
  <c r="I11" i="2"/>
  <c r="I108" i="2"/>
  <c r="I60" i="2"/>
  <c r="K60" i="2" s="1"/>
  <c r="I41" i="2"/>
  <c r="I4" i="2"/>
  <c r="I39" i="2"/>
  <c r="I26" i="2"/>
  <c r="H131" i="2"/>
  <c r="H83" i="2"/>
  <c r="I113" i="2"/>
  <c r="I77" i="2"/>
  <c r="H128" i="2"/>
  <c r="H116" i="2"/>
  <c r="H104" i="2"/>
  <c r="H92" i="2"/>
  <c r="H80" i="2"/>
  <c r="H68" i="2"/>
  <c r="I123" i="2"/>
  <c r="I111" i="2"/>
  <c r="I99" i="2"/>
  <c r="I87" i="2"/>
  <c r="I75" i="2"/>
  <c r="I63" i="2"/>
  <c r="H20" i="2"/>
  <c r="H8" i="2"/>
  <c r="I46" i="2"/>
  <c r="I34" i="2"/>
  <c r="I22" i="2"/>
  <c r="I10" i="2"/>
  <c r="I28" i="2"/>
  <c r="I51" i="2"/>
  <c r="I50" i="2"/>
  <c r="H115" i="2"/>
  <c r="H103" i="2"/>
  <c r="H91" i="2"/>
  <c r="H79" i="2"/>
  <c r="H67" i="2"/>
  <c r="I122" i="2"/>
  <c r="I110" i="2"/>
  <c r="I98" i="2"/>
  <c r="I86" i="2"/>
  <c r="I74" i="2"/>
  <c r="I62" i="2"/>
  <c r="H19" i="2"/>
  <c r="I5" i="2"/>
  <c r="I15" i="2"/>
  <c r="H126" i="2"/>
  <c r="H114" i="2"/>
  <c r="H102" i="2"/>
  <c r="H90" i="2"/>
  <c r="H78" i="2"/>
  <c r="H66" i="2"/>
  <c r="H2" i="2"/>
  <c r="H30" i="2"/>
  <c r="H18" i="2"/>
  <c r="H44" i="2"/>
  <c r="H31" i="2"/>
  <c r="I130" i="2"/>
  <c r="H40" i="2"/>
  <c r="I103" i="2"/>
  <c r="I126" i="2"/>
  <c r="I78" i="2"/>
  <c r="H46" i="2"/>
  <c r="H33" i="2"/>
  <c r="H32" i="2"/>
  <c r="H7" i="2"/>
  <c r="I106" i="2"/>
  <c r="H42" i="2"/>
  <c r="H6" i="2"/>
  <c r="I117" i="2"/>
  <c r="H77" i="2"/>
  <c r="H41" i="2"/>
  <c r="H5" i="2"/>
  <c r="I104" i="2"/>
  <c r="I68" i="2"/>
  <c r="I127" i="2"/>
  <c r="I79" i="2"/>
  <c r="H39" i="2"/>
  <c r="I114" i="2"/>
  <c r="I66" i="2"/>
  <c r="H38" i="2"/>
  <c r="H45" i="2"/>
  <c r="I118" i="2"/>
  <c r="I82" i="2"/>
  <c r="I70" i="2"/>
  <c r="I58" i="2"/>
  <c r="I129" i="2"/>
  <c r="I93" i="2"/>
  <c r="I81" i="2"/>
  <c r="I69" i="2"/>
  <c r="I57" i="2"/>
  <c r="H53" i="2"/>
  <c r="I128" i="2"/>
  <c r="I80" i="2"/>
  <c r="H52" i="2"/>
  <c r="I115" i="2"/>
  <c r="I67" i="2"/>
  <c r="I55" i="2"/>
  <c r="K55" i="2" s="1"/>
  <c r="I102" i="2"/>
  <c r="H34" i="2"/>
  <c r="H43" i="2"/>
  <c r="I94" i="2"/>
  <c r="I105" i="2"/>
  <c r="I116" i="2"/>
  <c r="I92" i="2"/>
  <c r="I56" i="2"/>
  <c r="H4" i="2"/>
  <c r="I91" i="2"/>
  <c r="H3" i="2"/>
  <c r="I90" i="2"/>
  <c r="I54" i="2"/>
  <c r="K58" i="2" l="1"/>
  <c r="K15" i="2"/>
  <c r="K57" i="2"/>
  <c r="K45" i="2"/>
  <c r="K75" i="2"/>
  <c r="K20" i="2"/>
  <c r="K125" i="2"/>
  <c r="K122" i="2"/>
  <c r="K5" i="2"/>
  <c r="K8" i="2"/>
  <c r="K116" i="2"/>
  <c r="K89" i="2"/>
  <c r="K113" i="2"/>
  <c r="K29" i="2"/>
  <c r="K78" i="2"/>
  <c r="K120" i="2"/>
  <c r="K47" i="2"/>
  <c r="K17" i="2"/>
  <c r="K87" i="2"/>
  <c r="K51" i="2"/>
  <c r="K65" i="2"/>
  <c r="K62" i="2"/>
  <c r="K110" i="2"/>
  <c r="K109" i="2"/>
  <c r="K99" i="2"/>
  <c r="K77" i="2"/>
  <c r="K86" i="2"/>
  <c r="K56" i="2"/>
  <c r="K64" i="2"/>
  <c r="K54" i="2"/>
  <c r="K18" i="2"/>
  <c r="K26" i="2"/>
  <c r="K30" i="2"/>
  <c r="K2" i="2"/>
  <c r="K82" i="2"/>
  <c r="K74" i="2"/>
  <c r="K101" i="2"/>
  <c r="K100" i="2"/>
  <c r="K73" i="2"/>
  <c r="K21" i="2"/>
  <c r="K31" i="2"/>
  <c r="K98" i="2"/>
  <c r="K102" i="2"/>
  <c r="K115" i="2"/>
  <c r="K9" i="2"/>
  <c r="K131" i="2"/>
  <c r="K129" i="2"/>
  <c r="K27" i="2"/>
  <c r="K111" i="2"/>
  <c r="K61" i="2"/>
  <c r="K68" i="2"/>
  <c r="K13" i="2"/>
  <c r="K85" i="2"/>
  <c r="K34" i="2"/>
  <c r="K112" i="2"/>
  <c r="K66" i="2"/>
  <c r="K14" i="2"/>
  <c r="K35" i="2"/>
  <c r="K121" i="2"/>
  <c r="K3" i="2"/>
  <c r="K24" i="2"/>
  <c r="K127" i="2"/>
  <c r="K128" i="2"/>
  <c r="K4" i="2"/>
  <c r="K52" i="2"/>
  <c r="K63" i="2"/>
  <c r="K93" i="2"/>
  <c r="K36" i="2"/>
  <c r="K12" i="2"/>
  <c r="K71" i="2"/>
  <c r="K84" i="2"/>
  <c r="K119" i="2"/>
  <c r="K117" i="2"/>
  <c r="K37" i="2"/>
  <c r="K108" i="2"/>
  <c r="K42" i="2"/>
  <c r="K70" i="2"/>
  <c r="K39" i="2"/>
  <c r="K7" i="2"/>
  <c r="K123" i="2"/>
  <c r="K50" i="2"/>
  <c r="K11" i="2"/>
  <c r="K43" i="2"/>
  <c r="K32" i="2"/>
  <c r="K95" i="2"/>
  <c r="K16" i="2"/>
  <c r="K106" i="2"/>
  <c r="K33" i="2"/>
  <c r="K80" i="2"/>
  <c r="K107" i="2"/>
  <c r="K10" i="2"/>
  <c r="K28" i="2"/>
  <c r="K124" i="2"/>
  <c r="K97" i="2"/>
  <c r="K118" i="2"/>
  <c r="K92" i="2"/>
  <c r="K23" i="2"/>
  <c r="K59" i="2"/>
  <c r="K130" i="2"/>
  <c r="K46" i="2"/>
  <c r="K104" i="2"/>
  <c r="K114" i="2"/>
  <c r="K81" i="2"/>
  <c r="K72" i="2"/>
  <c r="K40" i="2"/>
  <c r="K126" i="2"/>
  <c r="K91" i="2"/>
  <c r="K103" i="2"/>
  <c r="K105" i="2"/>
  <c r="K48" i="2"/>
  <c r="K96" i="2"/>
  <c r="K90" i="2"/>
  <c r="K67" i="2"/>
  <c r="K69" i="2"/>
  <c r="K41" i="2"/>
  <c r="K79" i="2"/>
  <c r="K38" i="2"/>
  <c r="K6" i="2"/>
  <c r="K83" i="2"/>
  <c r="K22" i="2"/>
  <c r="K53" i="2"/>
  <c r="K44" i="2"/>
  <c r="K19" i="2"/>
  <c r="K49" i="2"/>
  <c r="K76" i="2"/>
  <c r="K25" i="2"/>
  <c r="K94" i="2"/>
  <c r="K88" i="2"/>
</calcChain>
</file>

<file path=xl/sharedStrings.xml><?xml version="1.0" encoding="utf-8"?>
<sst xmlns="http://schemas.openxmlformats.org/spreadsheetml/2006/main" count="1593" uniqueCount="378">
  <si>
    <t>AgentID</t>
  </si>
  <si>
    <t>Name</t>
  </si>
  <si>
    <t>JoinDate</t>
  </si>
  <si>
    <t>LicenseDate</t>
  </si>
  <si>
    <t>Status</t>
  </si>
  <si>
    <t>Region</t>
  </si>
  <si>
    <t>Source</t>
  </si>
  <si>
    <t>A101</t>
  </si>
  <si>
    <t>Latha</t>
  </si>
  <si>
    <t>01-Jan-2024</t>
  </si>
  <si>
    <t>10-Jan-2024</t>
  </si>
  <si>
    <t>Active</t>
  </si>
  <si>
    <t>West</t>
  </si>
  <si>
    <t>Online</t>
  </si>
  <si>
    <t>A102</t>
  </si>
  <si>
    <t>Sneha</t>
  </si>
  <si>
    <t>02-Jan-2024</t>
  </si>
  <si>
    <t>11-Jan-2024</t>
  </si>
  <si>
    <t>Inactive</t>
  </si>
  <si>
    <t>South</t>
  </si>
  <si>
    <t>Walk-in</t>
  </si>
  <si>
    <t>A103</t>
  </si>
  <si>
    <t>03-Jan-2024</t>
  </si>
  <si>
    <t>12-Jan-2024</t>
  </si>
  <si>
    <t>A104</t>
  </si>
  <si>
    <t>Arjun</t>
  </si>
  <si>
    <t>04-Jan-2024</t>
  </si>
  <si>
    <t>13-Jan-2024</t>
  </si>
  <si>
    <t>A105</t>
  </si>
  <si>
    <t>Divya</t>
  </si>
  <si>
    <t>05-Jan-2024</t>
  </si>
  <si>
    <t>14-Jan-2024</t>
  </si>
  <si>
    <t>East</t>
  </si>
  <si>
    <t>A106</t>
  </si>
  <si>
    <t>Ravi</t>
  </si>
  <si>
    <t>06-Jan-2024</t>
  </si>
  <si>
    <t>15-Jan-2024</t>
  </si>
  <si>
    <t>Referral</t>
  </si>
  <si>
    <t>A107</t>
  </si>
  <si>
    <t>Kavya</t>
  </si>
  <si>
    <t>07-Jan-2024</t>
  </si>
  <si>
    <t>16-Jan-2024</t>
  </si>
  <si>
    <t>A108</t>
  </si>
  <si>
    <t>08-Jan-2024</t>
  </si>
  <si>
    <t>17-Jan-2024</t>
  </si>
  <si>
    <t>A109</t>
  </si>
  <si>
    <t>Kiran</t>
  </si>
  <si>
    <t>09-Jan-2024</t>
  </si>
  <si>
    <t>18-Jan-2024</t>
  </si>
  <si>
    <t>A110</t>
  </si>
  <si>
    <t>Pooja</t>
  </si>
  <si>
    <t>19-Jan-2024</t>
  </si>
  <si>
    <t>A111</t>
  </si>
  <si>
    <t>20-Jan-2024</t>
  </si>
  <si>
    <t>A112</t>
  </si>
  <si>
    <t>Suresh</t>
  </si>
  <si>
    <t>21-Jan-2024</t>
  </si>
  <si>
    <t>A113</t>
  </si>
  <si>
    <t>John</t>
  </si>
  <si>
    <t>22-Jan-2024</t>
  </si>
  <si>
    <t>A114</t>
  </si>
  <si>
    <t>Anita</t>
  </si>
  <si>
    <t>23-Jan-2024</t>
  </si>
  <si>
    <t>North</t>
  </si>
  <si>
    <t>A115</t>
  </si>
  <si>
    <t>Amit</t>
  </si>
  <si>
    <t>24-Jan-2024</t>
  </si>
  <si>
    <t>A116</t>
  </si>
  <si>
    <t>Rekha</t>
  </si>
  <si>
    <t>25-Jan-2024</t>
  </si>
  <si>
    <t>A117</t>
  </si>
  <si>
    <t>Rahul</t>
  </si>
  <si>
    <t>26-Jan-2024</t>
  </si>
  <si>
    <t>A118</t>
  </si>
  <si>
    <t>Meena</t>
  </si>
  <si>
    <t>27-Jan-2024</t>
  </si>
  <si>
    <t>A119</t>
  </si>
  <si>
    <t>Ramesh</t>
  </si>
  <si>
    <t>28-Jan-2024</t>
  </si>
  <si>
    <t>A120</t>
  </si>
  <si>
    <t>29-Jan-2024</t>
  </si>
  <si>
    <t>A121</t>
  </si>
  <si>
    <t>Manoj</t>
  </si>
  <si>
    <t>30-Jan-2024</t>
  </si>
  <si>
    <t>A122</t>
  </si>
  <si>
    <t>31-Jan-2024</t>
  </si>
  <si>
    <t>A123</t>
  </si>
  <si>
    <t>01-Feb-2024</t>
  </si>
  <si>
    <t>A124</t>
  </si>
  <si>
    <t>02-Feb-2024</t>
  </si>
  <si>
    <t>A125</t>
  </si>
  <si>
    <t>03-Feb-2024</t>
  </si>
  <si>
    <t>A126</t>
  </si>
  <si>
    <t>04-Feb-2024</t>
  </si>
  <si>
    <t>A127</t>
  </si>
  <si>
    <t>05-Feb-2024</t>
  </si>
  <si>
    <t>A128</t>
  </si>
  <si>
    <t>06-Feb-2024</t>
  </si>
  <si>
    <t>A129</t>
  </si>
  <si>
    <t>07-Feb-2024</t>
  </si>
  <si>
    <t>A130</t>
  </si>
  <si>
    <t>Vikram</t>
  </si>
  <si>
    <t>08-Feb-2024</t>
  </si>
  <si>
    <t>A131</t>
  </si>
  <si>
    <t>09-Feb-2024</t>
  </si>
  <si>
    <t>A132</t>
  </si>
  <si>
    <t>10-Feb-2024</t>
  </si>
  <si>
    <t>A133</t>
  </si>
  <si>
    <t>11-Feb-2024</t>
  </si>
  <si>
    <t>A134</t>
  </si>
  <si>
    <t>12-Feb-2024</t>
  </si>
  <si>
    <t>A135</t>
  </si>
  <si>
    <t>Anil</t>
  </si>
  <si>
    <t>13-Feb-2024</t>
  </si>
  <si>
    <t>A136</t>
  </si>
  <si>
    <t>14-Feb-2024</t>
  </si>
  <si>
    <t>A137</t>
  </si>
  <si>
    <t>15-Feb-2024</t>
  </si>
  <si>
    <t>A138</t>
  </si>
  <si>
    <t>16-Feb-2024</t>
  </si>
  <si>
    <t>A139</t>
  </si>
  <si>
    <t>17-Feb-2024</t>
  </si>
  <si>
    <t>A140</t>
  </si>
  <si>
    <t>18-Feb-2024</t>
  </si>
  <si>
    <t>A141</t>
  </si>
  <si>
    <t>19-Feb-2024</t>
  </si>
  <si>
    <t>A142</t>
  </si>
  <si>
    <t>20-Feb-2024</t>
  </si>
  <si>
    <t>A143</t>
  </si>
  <si>
    <t>21-Feb-2024</t>
  </si>
  <si>
    <t>A144</t>
  </si>
  <si>
    <t>22-Feb-2024</t>
  </si>
  <si>
    <t>A145</t>
  </si>
  <si>
    <t>23-Feb-2024</t>
  </si>
  <si>
    <t>A146</t>
  </si>
  <si>
    <t>24-Feb-2024</t>
  </si>
  <si>
    <t>A147</t>
  </si>
  <si>
    <t>Neha</t>
  </si>
  <si>
    <t>25-Feb-2024</t>
  </si>
  <si>
    <t>A148</t>
  </si>
  <si>
    <t>26-Feb-2024</t>
  </si>
  <si>
    <t>A149</t>
  </si>
  <si>
    <t>27-Feb-2024</t>
  </si>
  <si>
    <t>A150</t>
  </si>
  <si>
    <t>28-Feb-2024</t>
  </si>
  <si>
    <t>A151</t>
  </si>
  <si>
    <t>29-Feb-2024</t>
  </si>
  <si>
    <t>A152</t>
  </si>
  <si>
    <t>01-Mar-2024</t>
  </si>
  <si>
    <t>A153</t>
  </si>
  <si>
    <t>02-Mar-2024</t>
  </si>
  <si>
    <t>A154</t>
  </si>
  <si>
    <t>03-Mar-2024</t>
  </si>
  <si>
    <t>A155</t>
  </si>
  <si>
    <t>04-Mar-2024</t>
  </si>
  <si>
    <t>A156</t>
  </si>
  <si>
    <t>05-Mar-2024</t>
  </si>
  <si>
    <t>A157</t>
  </si>
  <si>
    <t>06-Mar-2024</t>
  </si>
  <si>
    <t>A158</t>
  </si>
  <si>
    <t>07-Mar-2024</t>
  </si>
  <si>
    <t>A159</t>
  </si>
  <si>
    <t>08-Mar-2024</t>
  </si>
  <si>
    <t>A160</t>
  </si>
  <si>
    <t>09-Mar-2024</t>
  </si>
  <si>
    <t>A161</t>
  </si>
  <si>
    <t>10-Mar-2024</t>
  </si>
  <si>
    <t>A162</t>
  </si>
  <si>
    <t>11-Mar-2024</t>
  </si>
  <si>
    <t>A163</t>
  </si>
  <si>
    <t>12-Mar-2024</t>
  </si>
  <si>
    <t>A164</t>
  </si>
  <si>
    <t>13-Mar-2024</t>
  </si>
  <si>
    <t>A165</t>
  </si>
  <si>
    <t>14-Mar-2024</t>
  </si>
  <si>
    <t>A166</t>
  </si>
  <si>
    <t>15-Mar-2024</t>
  </si>
  <si>
    <t>A167</t>
  </si>
  <si>
    <t>16-Mar-2024</t>
  </si>
  <si>
    <t>A168</t>
  </si>
  <si>
    <t>17-Mar-2024</t>
  </si>
  <si>
    <t>A169</t>
  </si>
  <si>
    <t>18-Mar-2024</t>
  </si>
  <si>
    <t>A170</t>
  </si>
  <si>
    <t>19-Mar-2024</t>
  </si>
  <si>
    <t>A171</t>
  </si>
  <si>
    <t>20-Mar-2024</t>
  </si>
  <si>
    <t>A172</t>
  </si>
  <si>
    <t>21-Mar-2024</t>
  </si>
  <si>
    <t>A173</t>
  </si>
  <si>
    <t>22-Mar-2024</t>
  </si>
  <si>
    <t>A174</t>
  </si>
  <si>
    <t>23-Mar-2024</t>
  </si>
  <si>
    <t>A175</t>
  </si>
  <si>
    <t>24-Mar-2024</t>
  </si>
  <si>
    <t>A176</t>
  </si>
  <si>
    <t>25-Mar-2024</t>
  </si>
  <si>
    <t>A177</t>
  </si>
  <si>
    <t>26-Mar-2024</t>
  </si>
  <si>
    <t>A178</t>
  </si>
  <si>
    <t>27-Mar-2024</t>
  </si>
  <si>
    <t>A179</t>
  </si>
  <si>
    <t>28-Mar-2024</t>
  </si>
  <si>
    <t>A180</t>
  </si>
  <si>
    <t>29-Mar-2024</t>
  </si>
  <si>
    <t>A181</t>
  </si>
  <si>
    <t>30-Mar-2024</t>
  </si>
  <si>
    <t>A182</t>
  </si>
  <si>
    <t>31-Mar-2024</t>
  </si>
  <si>
    <t>A183</t>
  </si>
  <si>
    <t>01-Apr-2024</t>
  </si>
  <si>
    <t>A184</t>
  </si>
  <si>
    <t>02-Apr-2024</t>
  </si>
  <si>
    <t>A185</t>
  </si>
  <si>
    <t>03-Apr-2024</t>
  </si>
  <si>
    <t>A186</t>
  </si>
  <si>
    <t>04-Apr-2024</t>
  </si>
  <si>
    <t>A187</t>
  </si>
  <si>
    <t>05-Apr-2024</t>
  </si>
  <si>
    <t>A188</t>
  </si>
  <si>
    <t>06-Apr-2024</t>
  </si>
  <si>
    <t>A189</t>
  </si>
  <si>
    <t>07-Apr-2024</t>
  </si>
  <si>
    <t>A190</t>
  </si>
  <si>
    <t>08-Apr-2024</t>
  </si>
  <si>
    <t>A191</t>
  </si>
  <si>
    <t>09-Apr-2024</t>
  </si>
  <si>
    <t>A192</t>
  </si>
  <si>
    <t>10-Apr-2024</t>
  </si>
  <si>
    <t>A193</t>
  </si>
  <si>
    <t>11-Apr-2024</t>
  </si>
  <si>
    <t>A194</t>
  </si>
  <si>
    <t>12-Apr-2024</t>
  </si>
  <si>
    <t>A195</t>
  </si>
  <si>
    <t>13-Apr-2024</t>
  </si>
  <si>
    <t>A196</t>
  </si>
  <si>
    <t>14-Apr-2024</t>
  </si>
  <si>
    <t>A197</t>
  </si>
  <si>
    <t>15-Apr-2024</t>
  </si>
  <si>
    <t>A198</t>
  </si>
  <si>
    <t>16-Apr-2024</t>
  </si>
  <si>
    <t>A199</t>
  </si>
  <si>
    <t>17-Apr-2024</t>
  </si>
  <si>
    <t>A200</t>
  </si>
  <si>
    <t>18-Apr-2024</t>
  </si>
  <si>
    <t>A201</t>
  </si>
  <si>
    <t>19-Apr-2024</t>
  </si>
  <si>
    <t>A202</t>
  </si>
  <si>
    <t>20-Apr-2024</t>
  </si>
  <si>
    <t>A203</t>
  </si>
  <si>
    <t>21-Apr-2024</t>
  </si>
  <si>
    <t>A204</t>
  </si>
  <si>
    <t>22-Apr-2024</t>
  </si>
  <si>
    <t>A205</t>
  </si>
  <si>
    <t>23-Apr-2024</t>
  </si>
  <si>
    <t>A206</t>
  </si>
  <si>
    <t>24-Apr-2024</t>
  </si>
  <si>
    <t>A207</t>
  </si>
  <si>
    <t>25-Apr-2024</t>
  </si>
  <si>
    <t>A208</t>
  </si>
  <si>
    <t>26-Apr-2024</t>
  </si>
  <si>
    <t>A209</t>
  </si>
  <si>
    <t>27-Apr-2024</t>
  </si>
  <si>
    <t>A210</t>
  </si>
  <si>
    <t>28-Apr-2024</t>
  </si>
  <si>
    <t>A211</t>
  </si>
  <si>
    <t>29-Apr-2024</t>
  </si>
  <si>
    <t>A212</t>
  </si>
  <si>
    <t>30-Apr-2024</t>
  </si>
  <si>
    <t>A213</t>
  </si>
  <si>
    <t>01-May-2024</t>
  </si>
  <si>
    <t>A214</t>
  </si>
  <si>
    <t>02-May-2024</t>
  </si>
  <si>
    <t>A215</t>
  </si>
  <si>
    <t>03-May-2024</t>
  </si>
  <si>
    <t>A216</t>
  </si>
  <si>
    <t>04-May-2024</t>
  </si>
  <si>
    <t>A217</t>
  </si>
  <si>
    <t>05-May-2024</t>
  </si>
  <si>
    <t>A218</t>
  </si>
  <si>
    <t>06-May-2024</t>
  </si>
  <si>
    <t>A219</t>
  </si>
  <si>
    <t>07-May-2024</t>
  </si>
  <si>
    <t>A220</t>
  </si>
  <si>
    <t>08-May-2024</t>
  </si>
  <si>
    <t>A221</t>
  </si>
  <si>
    <t>09-May-2024</t>
  </si>
  <si>
    <t>A222</t>
  </si>
  <si>
    <t>10-May-2024</t>
  </si>
  <si>
    <t>A223</t>
  </si>
  <si>
    <t>11-May-2024</t>
  </si>
  <si>
    <t>A224</t>
  </si>
  <si>
    <t>12-May-2024</t>
  </si>
  <si>
    <t>A225</t>
  </si>
  <si>
    <t>13-May-2024</t>
  </si>
  <si>
    <t>A226</t>
  </si>
  <si>
    <t>14-May-2024</t>
  </si>
  <si>
    <t>A227</t>
  </si>
  <si>
    <t>15-May-2024</t>
  </si>
  <si>
    <t>A228</t>
  </si>
  <si>
    <t>16-May-2024</t>
  </si>
  <si>
    <t>A229</t>
  </si>
  <si>
    <t>17-May-2024</t>
  </si>
  <si>
    <t>A230</t>
  </si>
  <si>
    <t>18-May-2024</t>
  </si>
  <si>
    <t>Month</t>
  </si>
  <si>
    <t>Calls</t>
  </si>
  <si>
    <t>Meetings</t>
  </si>
  <si>
    <t>Proposals</t>
  </si>
  <si>
    <t>Sales</t>
  </si>
  <si>
    <t>FYP</t>
  </si>
  <si>
    <t>Jan</t>
  </si>
  <si>
    <t>Feb</t>
  </si>
  <si>
    <t>Mar</t>
  </si>
  <si>
    <t>Apr</t>
  </si>
  <si>
    <t>May</t>
  </si>
  <si>
    <t>Aug</t>
  </si>
  <si>
    <t>Sep</t>
  </si>
  <si>
    <t>Oct</t>
  </si>
  <si>
    <t>Nov</t>
  </si>
  <si>
    <t>Dec</t>
  </si>
  <si>
    <t>Meeting Rate</t>
  </si>
  <si>
    <t>Proposal Rate</t>
  </si>
  <si>
    <t>Sales Conversion</t>
  </si>
  <si>
    <t>Problem</t>
  </si>
  <si>
    <t>Condition</t>
  </si>
  <si>
    <t>Low Meetings from Calls</t>
  </si>
  <si>
    <t>Poor Communication</t>
  </si>
  <si>
    <t>Good Meetings but Low Sales</t>
  </si>
  <si>
    <t>Poor Closing</t>
  </si>
  <si>
    <t>Low Proposals</t>
  </si>
  <si>
    <t>Poor Pitching</t>
  </si>
  <si>
    <t>Everything good</t>
  </si>
  <si>
    <t>Strong Performer</t>
  </si>
  <si>
    <t>Row Labels</t>
  </si>
  <si>
    <t>Grand Total</t>
  </si>
  <si>
    <t>Count of Problem</t>
  </si>
  <si>
    <t>Jun</t>
  </si>
  <si>
    <t>Jul</t>
  </si>
  <si>
    <t>✔ “40% of issues occur at communication stage”</t>
  </si>
  <si>
    <t>✔ “Closing failure is second biggest drop point”</t>
  </si>
  <si>
    <t>✔ “Agent A101 struggles mainly with closing (67% of issues)”</t>
  </si>
  <si>
    <t>✔ “Few agents show consistent strong performance”</t>
  </si>
  <si>
    <t>Insights</t>
  </si>
  <si>
    <t>✔ Train agents on communication skills</t>
  </si>
  <si>
    <t>✔ Provide closing techniques training</t>
  </si>
  <si>
    <t>✔ Give coaching to specific agents</t>
  </si>
  <si>
    <t>Actions</t>
  </si>
  <si>
    <t>Meetings LastMonth</t>
  </si>
  <si>
    <t>Risk</t>
  </si>
  <si>
    <t>Sales LastMonth</t>
  </si>
  <si>
    <t>Low Risk</t>
  </si>
  <si>
    <t>Medium Risk</t>
  </si>
  <si>
    <t>Count of AgentID</t>
  </si>
  <si>
    <t>✔ “Low activity is strong indicator of attrition”</t>
  </si>
  <si>
    <t>“Agents with &lt;5 meetings are at high risk”</t>
  </si>
  <si>
    <t>Action</t>
  </si>
  <si>
    <t>✔ Give training</t>
  </si>
  <si>
    <t>✔ Monitor weekly</t>
  </si>
  <si>
    <t>✔ Call high-risk agents (no risk in any agents)</t>
  </si>
  <si>
    <t>Total FYP</t>
  </si>
  <si>
    <t>Top performer level</t>
  </si>
  <si>
    <t>Result</t>
  </si>
  <si>
    <t>average</t>
  </si>
  <si>
    <t>low</t>
  </si>
  <si>
    <t>star</t>
  </si>
  <si>
    <t>INSIGHTS</t>
  </si>
  <si>
    <t>Percentage</t>
  </si>
  <si>
    <t>Half of the agent workforce (50%) falls under the low-performance category, indicating a significant productivity gap.”</t>
  </si>
  <si>
    <t>“Only 10% of agents are top performers, suggesting that a small group is driving a disproportionate share of business outcomes.”</t>
  </si>
  <si>
    <t>“40% of agents are in the average category, showing potential for improvement with targeted support and training.”</t>
  </si>
  <si>
    <t>ACTIONS</t>
  </si>
  <si>
    <t>“Implement targeted training programs to improve the performance of low-performing agents.”</t>
  </si>
  <si>
    <t>“Introduce retention strategies and incentives to retain top-performing agents, as they are critical to revenue generation.”</t>
  </si>
  <si>
    <t>“Provide structured coaching and mentorship programs to help average performers move into the high-performance category.”</t>
  </si>
  <si>
    <t xml:space="preserve">Result </t>
  </si>
  <si>
    <t>Count</t>
  </si>
  <si>
    <t>Top Agents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</si>
</sst>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 wrapText="1"/>
    </xf>
    <xf numFmtId="9" fontId="2" fillId="0" borderId="0" xfId="1" applyFont="1"/>
    <xf numFmtId="0" fontId="2" fillId="0" borderId="0" xfId="1" applyNumberFormat="1" applyFont="1"/>
    <xf numFmtId="0" fontId="0" fillId="0" borderId="0" xfId="1" applyNumberFormat="1" applyFont="1"/>
    <xf numFmtId="2" fontId="2" fillId="0" borderId="0" xfId="1" applyNumberFormat="1" applyFont="1"/>
    <xf numFmtId="2" fontId="0" fillId="0" borderId="0" xfId="1" applyNumberFormat="1" applyFont="1"/>
    <xf numFmtId="2" fontId="2" fillId="0" borderId="0" xfId="0" applyNumberFormat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2" borderId="0" xfId="0" applyFont="1" applyFill="1" applyAlignment="1">
      <alignment horizontal="left"/>
    </xf>
    <xf numFmtId="9" fontId="0" fillId="2" borderId="0" xfId="1" applyFont="1" applyFill="1"/>
    <xf numFmtId="0" fontId="0" fillId="0" borderId="0" xfId="0" applyAlignment="1">
      <alignment horizontal="center" vertical="center" wrapText="1"/>
    </xf>
    <xf numFmtId="9" fontId="0" fillId="0" borderId="0" xfId="1" applyFont="1"/>
    <xf numFmtId="164" fontId="0" fillId="0" borderId="0" xfId="0" applyNumberFormat="1"/>
    <xf numFmtId="165" fontId="0" fillId="0" borderId="0" xfId="0" applyNumberFormat="1"/>
    <xf numFmtId="0" fontId="2" fillId="3" borderId="0" xfId="0" applyFont="1" applyFill="1"/>
    <xf numFmtId="0" fontId="0" fillId="3" borderId="0" xfId="0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4" fillId="5" borderId="0" xfId="0" applyFont="1" applyFill="1"/>
    <xf numFmtId="0" fontId="4" fillId="4" borderId="0" xfId="0" applyFont="1" applyFill="1"/>
  </cellXfs>
  <cellStyles count="2">
    <cellStyle name="Normal" xfId="0" builtinId="0"/>
    <cellStyle name="Percent" xfId="1" builtinId="5"/>
  </cellStyles>
  <dxfs count="2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&quot;₹&quot;\ #,##0.00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numFmt numFmtId="164" formatCode="&quot;₹&quot;\ #,##0.0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EA75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[HR Analytics for Insurance.xlsx]Insight → Action!PivotTable2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 → Action'!$E$3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'Insight → Action'!$D$4:$D$8</c:f>
              <c:strCache>
                <c:ptCount val="4"/>
                <c:pt idx="0">
                  <c:v>Poor Closing</c:v>
                </c:pt>
                <c:pt idx="1">
                  <c:v>Poor Communication</c:v>
                </c:pt>
                <c:pt idx="2">
                  <c:v>Poor Pitching</c:v>
                </c:pt>
                <c:pt idx="3">
                  <c:v>Strong Performer</c:v>
                </c:pt>
              </c:strCache>
            </c:strRef>
          </c:cat>
          <c:val>
            <c:numRef>
              <c:f>'Insight → Action'!$E$4:$E$8</c:f>
              <c:numCache>
                <c:formatCode>General</c:formatCode>
                <c:ptCount val="4"/>
                <c:pt idx="0">
                  <c:v>31</c:v>
                </c:pt>
                <c:pt idx="1">
                  <c:v>46</c:v>
                </c:pt>
                <c:pt idx="2">
                  <c:v>17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A-40B6-8225-DAC0DF9C2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5626799"/>
        <c:axId val="1346855375"/>
      </c:barChart>
      <c:catAx>
        <c:axId val="86562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55375"/>
        <c:crosses val="autoZero"/>
        <c:auto val="1"/>
        <c:lblAlgn val="ctr"/>
        <c:lblOffset val="100"/>
        <c:noMultiLvlLbl val="0"/>
      </c:catAx>
      <c:valAx>
        <c:axId val="134685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626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[HR Analytics for Insurance.xlsx]Performance!PivotTable3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Performance!$H$2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Performance!$G$3:$G$6</c:f>
              <c:strCache>
                <c:ptCount val="3"/>
                <c:pt idx="0">
                  <c:v>average</c:v>
                </c:pt>
                <c:pt idx="1">
                  <c:v>low</c:v>
                </c:pt>
                <c:pt idx="2">
                  <c:v>star</c:v>
                </c:pt>
              </c:strCache>
            </c:strRef>
          </c:cat>
          <c:val>
            <c:numRef>
              <c:f>Performance!$H$3:$H$6</c:f>
              <c:numCache>
                <c:formatCode>General</c:formatCode>
                <c:ptCount val="3"/>
                <c:pt idx="0">
                  <c:v>12</c:v>
                </c:pt>
                <c:pt idx="1">
                  <c:v>15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9-4064-899F-3E75ED6EE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121263"/>
        <c:axId val="2119122223"/>
      </c:barChart>
      <c:catAx>
        <c:axId val="211912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122223"/>
        <c:crosses val="autoZero"/>
        <c:auto val="1"/>
        <c:lblAlgn val="ctr"/>
        <c:lblOffset val="100"/>
        <c:noMultiLvlLbl val="0"/>
      </c:catAx>
      <c:valAx>
        <c:axId val="211912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121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for Insurance.xlsx]Performance!PivotTable3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Agent Performance Distribution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Performance!$H$2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E1-4BC2-BC0D-10D7F8EDE366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E1-4BC2-BC0D-10D7F8EDE36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E1-4BC2-BC0D-10D7F8EDE3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Performance!$G$3:$G$6</c:f>
              <c:strCache>
                <c:ptCount val="3"/>
                <c:pt idx="0">
                  <c:v>average</c:v>
                </c:pt>
                <c:pt idx="1">
                  <c:v>low</c:v>
                </c:pt>
                <c:pt idx="2">
                  <c:v>star</c:v>
                </c:pt>
              </c:strCache>
            </c:strRef>
          </c:cat>
          <c:val>
            <c:numRef>
              <c:f>Performance!$H$3:$H$6</c:f>
              <c:numCache>
                <c:formatCode>General</c:formatCode>
                <c:ptCount val="3"/>
                <c:pt idx="0">
                  <c:v>12</c:v>
                </c:pt>
                <c:pt idx="1">
                  <c:v>15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E1-4BC2-BC0D-10D7F8EDE3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for Insurance.xlsx]Retention!PivotTable1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Agent Risk Distribution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Retention!$H$5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1"/>
            <c:invertIfNegative val="1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EC2-4E07-B4B8-D0C099FDA5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Retention!$G$6:$G$8</c:f>
              <c:strCache>
                <c:ptCount val="2"/>
                <c:pt idx="0">
                  <c:v>Low Risk</c:v>
                </c:pt>
                <c:pt idx="1">
                  <c:v>Medium Risk</c:v>
                </c:pt>
              </c:strCache>
            </c:strRef>
          </c:cat>
          <c:val>
            <c:numRef>
              <c:f>Retention!$H$6:$H$8</c:f>
              <c:numCache>
                <c:formatCode>General</c:formatCode>
                <c:ptCount val="2"/>
                <c:pt idx="0">
                  <c:v>114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C2-4E07-B4B8-D0C099FDA51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95"/>
        <c:overlap val="-17"/>
        <c:axId val="344018048"/>
        <c:axId val="344011808"/>
      </c:barChart>
      <c:catAx>
        <c:axId val="34401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011808"/>
        <c:crosses val="autoZero"/>
        <c:auto val="1"/>
        <c:lblAlgn val="ctr"/>
        <c:lblOffset val="100"/>
        <c:noMultiLvlLbl val="0"/>
      </c:catAx>
      <c:valAx>
        <c:axId val="34401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01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IN"/>
              <a:t>Top 5 Agents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Performance!$F$25</c:f>
              <c:strCache>
                <c:ptCount val="1"/>
                <c:pt idx="0">
                  <c:v>Total FYP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1DC-40C1-9440-C330A153EEE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1DC-40C1-9440-C330A153EEE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1DC-40C1-9440-C330A153EEE9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1DC-40C1-9440-C330A153EEE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1DC-40C1-9440-C330A153EE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Performance!$E$26:$E$50</c:f>
              <c:strCache>
                <c:ptCount val="5"/>
                <c:pt idx="0">
                  <c:v>A102</c:v>
                </c:pt>
                <c:pt idx="1">
                  <c:v>A105</c:v>
                </c:pt>
                <c:pt idx="2">
                  <c:v>A107</c:v>
                </c:pt>
                <c:pt idx="3">
                  <c:v>A116</c:v>
                </c:pt>
                <c:pt idx="4">
                  <c:v>A125</c:v>
                </c:pt>
              </c:strCache>
            </c:strRef>
          </c:cat>
          <c:val>
            <c:numRef>
              <c:f>Performance!$F$26:$F$50</c:f>
              <c:numCache>
                <c:formatCode>"₹"\ #,##0.00</c:formatCode>
                <c:ptCount val="5"/>
                <c:pt idx="0">
                  <c:v>192961</c:v>
                </c:pt>
                <c:pt idx="1">
                  <c:v>195648</c:v>
                </c:pt>
                <c:pt idx="2">
                  <c:v>214870</c:v>
                </c:pt>
                <c:pt idx="3">
                  <c:v>194258</c:v>
                </c:pt>
                <c:pt idx="4">
                  <c:v>189793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C-40C1-9440-C330A153E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overlap val="-27"/>
        <c:axId val="1948976992"/>
        <c:axId val="1948960672"/>
      </c:barChart>
      <c:catAx>
        <c:axId val="194897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960672"/>
        <c:crosses val="autoZero"/>
        <c:auto val="1"/>
        <c:lblAlgn val="ctr"/>
        <c:lblOffset val="100"/>
        <c:noMultiLvlLbl val="0"/>
      </c:catAx>
      <c:valAx>
        <c:axId val="194896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97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155575</xdr:colOff>
      <xdr:row>1</xdr:row>
      <xdr:rowOff>171450</xdr:rowOff>
    </xdr:from>
    <xdr:to>
      <xdr:col>12</xdr:col>
      <xdr:colOff>346075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AD7525-87DA-21AA-7430-A5A78E722A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7</xdr:row>
      <xdr:rowOff>25400</xdr:rowOff>
    </xdr:from>
    <xdr:to>
      <xdr:col>9</xdr:col>
      <xdr:colOff>377825</xdr:colOff>
      <xdr:row>22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8AE4BD-89CF-4FF9-37BB-BC033C7B8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250488</xdr:colOff>
      <xdr:row>4</xdr:row>
      <xdr:rowOff>164193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F9A0994-21B9-456B-BD4A-D1C4D47122E4}"/>
            </a:ext>
          </a:extLst>
        </xdr:cNvPr>
        <xdr:cNvSpPr/>
      </xdr:nvSpPr>
      <xdr:spPr>
        <a:xfrm>
          <a:off x="0" y="0"/>
          <a:ext cx="15299988" cy="900793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5</xdr:row>
      <xdr:rowOff>0</xdr:rowOff>
    </xdr:from>
    <xdr:to>
      <xdr:col>25</xdr:col>
      <xdr:colOff>221196</xdr:colOff>
      <xdr:row>44</xdr:row>
      <xdr:rowOff>88186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ABE223D-790E-4A6F-8C34-2F9F911B33BA}"/>
            </a:ext>
          </a:extLst>
        </xdr:cNvPr>
        <xdr:cNvSpPr/>
      </xdr:nvSpPr>
      <xdr:spPr>
        <a:xfrm>
          <a:off x="0" y="920750"/>
          <a:ext cx="15270696" cy="727003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bg2">
              <a:lumMod val="50000"/>
            </a:schemeClr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196548</xdr:colOff>
      <xdr:row>44</xdr:row>
      <xdr:rowOff>81410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FD52564-0D45-4B01-9AC3-D04031B6B772}"/>
            </a:ext>
          </a:extLst>
        </xdr:cNvPr>
        <xdr:cNvSpPr/>
      </xdr:nvSpPr>
      <xdr:spPr>
        <a:xfrm>
          <a:off x="0" y="0"/>
          <a:ext cx="3794881" cy="7961923"/>
        </a:xfrm>
        <a:prstGeom prst="rect">
          <a:avLst/>
        </a:prstGeom>
        <a:solidFill>
          <a:schemeClr val="accent2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388443</xdr:colOff>
      <xdr:row>0</xdr:row>
      <xdr:rowOff>68036</xdr:rowOff>
    </xdr:from>
    <xdr:to>
      <xdr:col>24</xdr:col>
      <xdr:colOff>553588</xdr:colOff>
      <xdr:row>4</xdr:row>
      <xdr:rowOff>34017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61D38D5-8BD1-4F9A-B6D7-84E86C399B0D}"/>
            </a:ext>
          </a:extLst>
        </xdr:cNvPr>
        <xdr:cNvSpPr txBox="1"/>
      </xdr:nvSpPr>
      <xdr:spPr>
        <a:xfrm>
          <a:off x="3986776" y="68036"/>
          <a:ext cx="10911299" cy="68239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4000" b="1">
              <a:solidFill>
                <a:schemeClr val="bg2">
                  <a:lumMod val="90000"/>
                </a:schemeClr>
              </a:solidFill>
              <a:latin typeface="Hadassah Friedlaender" panose="02020603050405020304" pitchFamily="18" charset="-79"/>
              <a:cs typeface="Hadassah Friedlaender" panose="02020603050405020304" pitchFamily="18" charset="-79"/>
            </a:rPr>
            <a:t>Agent Performance &amp; Risk Dashboard</a:t>
          </a:r>
          <a:endParaRPr lang="en-IN" sz="4000" b="1">
            <a:solidFill>
              <a:schemeClr val="bg2">
                <a:lumMod val="90000"/>
              </a:schemeClr>
            </a:solidFill>
            <a:latin typeface="Hadassah Friedlaender" panose="02020603050405020304" pitchFamily="18" charset="-79"/>
            <a:ea typeface="+mn-ea"/>
            <a:cs typeface="Hadassah Friedlaender" panose="02020603050405020304" pitchFamily="18" charset="-79"/>
          </a:endParaRPr>
        </a:p>
      </xdr:txBody>
    </xdr:sp>
    <xdr:clientData/>
  </xdr:twoCellAnchor>
  <xdr:twoCellAnchor>
    <xdr:from>
      <xdr:col>0</xdr:col>
      <xdr:colOff>107833</xdr:colOff>
      <xdr:row>22</xdr:row>
      <xdr:rowOff>78487</xdr:rowOff>
    </xdr:from>
    <xdr:to>
      <xdr:col>6</xdr:col>
      <xdr:colOff>35946</xdr:colOff>
      <xdr:row>32</xdr:row>
      <xdr:rowOff>131793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421718B-989C-48FA-9C34-C589CE466451}"/>
            </a:ext>
          </a:extLst>
        </xdr:cNvPr>
        <xdr:cNvSpPr txBox="1"/>
      </xdr:nvSpPr>
      <xdr:spPr>
        <a:xfrm>
          <a:off x="107833" y="4032261"/>
          <a:ext cx="3498490" cy="18504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tx1"/>
          </a:solidFill>
          <a:prstDash val="dash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2800" b="1">
              <a:solidFill>
                <a:schemeClr val="dk1"/>
              </a:solidFill>
              <a:effectLst/>
              <a:latin typeface="Book Antiqua" panose="02040602050305030304" pitchFamily="18" charset="0"/>
              <a:ea typeface="+mn-ea"/>
              <a:cs typeface="+mn-cs"/>
            </a:rPr>
            <a:t>Low Performers %</a:t>
          </a:r>
        </a:p>
      </xdr:txBody>
    </xdr:sp>
    <xdr:clientData/>
  </xdr:twoCellAnchor>
  <xdr:twoCellAnchor>
    <xdr:from>
      <xdr:col>0</xdr:col>
      <xdr:colOff>407052</xdr:colOff>
      <xdr:row>27</xdr:row>
      <xdr:rowOff>119811</xdr:rowOff>
    </xdr:from>
    <xdr:to>
      <xdr:col>4</xdr:col>
      <xdr:colOff>247992</xdr:colOff>
      <xdr:row>32</xdr:row>
      <xdr:rowOff>47507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556BFFF-66C1-4CE7-AA9E-9B73CDBF2A57}"/>
            </a:ext>
          </a:extLst>
        </xdr:cNvPr>
        <xdr:cNvSpPr txBox="1"/>
      </xdr:nvSpPr>
      <xdr:spPr>
        <a:xfrm>
          <a:off x="407052" y="4972169"/>
          <a:ext cx="2452827" cy="826281"/>
        </a:xfrm>
        <a:prstGeom prst="rect">
          <a:avLst/>
        </a:prstGeom>
        <a:noFill/>
        <a:ln>
          <a:noFill/>
        </a:ln>
        <a:effectLst>
          <a:outerShdw blurRad="50800" dist="38100" dir="13500000" algn="b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3600" b="0" i="0" u="none" strike="noStrike">
              <a:solidFill>
                <a:sysClr val="windowText" lastClr="000000"/>
              </a:solidFill>
              <a:effectLst/>
              <a:latin typeface="Book Antiqua" panose="02040602050305030304" pitchFamily="18" charset="0"/>
              <a:ea typeface="+mn-ea"/>
              <a:cs typeface="+mn-cs"/>
            </a:rPr>
            <a:t>50% </a:t>
          </a:r>
          <a:endParaRPr lang="en-US" sz="3600" b="0" i="0" u="none" strike="noStrike">
            <a:solidFill>
              <a:sysClr val="windowText" lastClr="000000"/>
            </a:solidFill>
            <a:effectLst/>
            <a:latin typeface="Book Antiqua" panose="020406020503050303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119812</xdr:colOff>
      <xdr:row>33</xdr:row>
      <xdr:rowOff>83868</xdr:rowOff>
    </xdr:from>
    <xdr:to>
      <xdr:col>6</xdr:col>
      <xdr:colOff>133747</xdr:colOff>
      <xdr:row>42</xdr:row>
      <xdr:rowOff>71887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C65CC47-9A9B-4B4F-B22C-C3E49635127D}"/>
            </a:ext>
          </a:extLst>
        </xdr:cNvPr>
        <xdr:cNvSpPr txBox="1"/>
      </xdr:nvSpPr>
      <xdr:spPr>
        <a:xfrm>
          <a:off x="119812" y="6014528"/>
          <a:ext cx="3584312" cy="160547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tx1"/>
          </a:solidFill>
          <a:prstDash val="dash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IN" sz="3400" b="1">
              <a:solidFill>
                <a:schemeClr val="dk1"/>
              </a:solidFill>
              <a:effectLst/>
              <a:latin typeface="Book Antiqua" panose="02040602050305030304" pitchFamily="18" charset="0"/>
              <a:ea typeface="+mn-ea"/>
              <a:cs typeface="+mn-cs"/>
            </a:rPr>
            <a:t>Medium Risk Agents  </a:t>
          </a:r>
        </a:p>
      </xdr:txBody>
    </xdr:sp>
    <xdr:clientData/>
  </xdr:twoCellAnchor>
  <xdr:twoCellAnchor>
    <xdr:from>
      <xdr:col>0</xdr:col>
      <xdr:colOff>262406</xdr:colOff>
      <xdr:row>37</xdr:row>
      <xdr:rowOff>122475</xdr:rowOff>
    </xdr:from>
    <xdr:to>
      <xdr:col>4</xdr:col>
      <xdr:colOff>387768</xdr:colOff>
      <xdr:row>44</xdr:row>
      <xdr:rowOff>4823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28E36D6-5884-4E74-85B1-5ECAB08BBA4D}"/>
            </a:ext>
          </a:extLst>
        </xdr:cNvPr>
        <xdr:cNvSpPr txBox="1"/>
      </xdr:nvSpPr>
      <xdr:spPr>
        <a:xfrm>
          <a:off x="262406" y="6749270"/>
          <a:ext cx="2763054" cy="1136066"/>
        </a:xfrm>
        <a:prstGeom prst="rect">
          <a:avLst/>
        </a:prstGeom>
        <a:noFill/>
        <a:ln>
          <a:noFill/>
        </a:ln>
        <a:effectLst>
          <a:outerShdw blurRad="50800" dist="38100" dir="13500000" algn="b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3600" b="0" i="0" u="none" strike="noStrike">
              <a:solidFill>
                <a:sysClr val="windowText" lastClr="000000"/>
              </a:solidFill>
              <a:effectLst/>
              <a:latin typeface="Book Antiqua" panose="02040602050305030304" pitchFamily="18" charset="0"/>
              <a:ea typeface="+mn-ea"/>
              <a:cs typeface="+mn-cs"/>
            </a:rPr>
            <a:t>14  </a:t>
          </a:r>
          <a:endParaRPr lang="en-US" sz="3600" b="0" i="0" u="none" strike="noStrike">
            <a:solidFill>
              <a:sysClr val="windowText" lastClr="000000"/>
            </a:solidFill>
            <a:effectLst/>
            <a:latin typeface="Book Antiqua" panose="020406020503050303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408215</xdr:colOff>
      <xdr:row>6</xdr:row>
      <xdr:rowOff>45357</xdr:rowOff>
    </xdr:from>
    <xdr:to>
      <xdr:col>15</xdr:col>
      <xdr:colOff>148442</xdr:colOff>
      <xdr:row>21</xdr:row>
      <xdr:rowOff>67128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0DA2CA6-75E2-4B18-9C50-47484BB006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173181</xdr:colOff>
      <xdr:row>6</xdr:row>
      <xdr:rowOff>41234</xdr:rowOff>
    </xdr:from>
    <xdr:to>
      <xdr:col>24</xdr:col>
      <xdr:colOff>313376</xdr:colOff>
      <xdr:row>21</xdr:row>
      <xdr:rowOff>65976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51953C7-A896-405C-949A-4B467C90D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412338</xdr:colOff>
      <xdr:row>23</xdr:row>
      <xdr:rowOff>16494</xdr:rowOff>
    </xdr:from>
    <xdr:to>
      <xdr:col>24</xdr:col>
      <xdr:colOff>374487</xdr:colOff>
      <xdr:row>43</xdr:row>
      <xdr:rowOff>35944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B533EC0-F9CD-4B78-9EB0-782275147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167737</xdr:colOff>
      <xdr:row>1</xdr:row>
      <xdr:rowOff>107831</xdr:rowOff>
    </xdr:from>
    <xdr:to>
      <xdr:col>5</xdr:col>
      <xdr:colOff>443303</xdr:colOff>
      <xdr:row>9</xdr:row>
      <xdr:rowOff>119811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A31456B-9F7F-4D16-94DC-CD70055DF3E4}"/>
            </a:ext>
          </a:extLst>
        </xdr:cNvPr>
        <xdr:cNvSpPr txBox="1"/>
      </xdr:nvSpPr>
      <xdr:spPr>
        <a:xfrm>
          <a:off x="167737" y="287548"/>
          <a:ext cx="3390660" cy="144971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tx1"/>
          </a:solidFill>
          <a:prstDash val="dash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Book Antiqua" panose="02040602050305030304" pitchFamily="18" charset="0"/>
              <a:ea typeface="+mn-ea"/>
              <a:cs typeface="+mn-cs"/>
            </a:rPr>
            <a:t>Total Agents</a:t>
          </a:r>
          <a:endParaRPr lang="en-IN" sz="3600">
            <a:effectLst/>
            <a:latin typeface="Book Antiqua" panose="02040602050305030304" pitchFamily="18" charset="0"/>
          </a:endParaRPr>
        </a:p>
        <a:p>
          <a:pPr marL="0" indent="0" algn="ctr"/>
          <a:r>
            <a:rPr lang="en-IN" sz="3600" b="0" i="0">
              <a:solidFill>
                <a:schemeClr val="dk1"/>
              </a:solidFill>
              <a:effectLst/>
              <a:latin typeface="Book Antiqua" panose="02040602050305030304" pitchFamily="18" charset="0"/>
              <a:ea typeface="+mn-ea"/>
              <a:cs typeface="+mn-cs"/>
            </a:rPr>
            <a:t>30</a:t>
          </a:r>
          <a:endParaRPr lang="en-IN" sz="3600" b="1" cap="none" spc="50">
            <a:ln w="0"/>
            <a:solidFill>
              <a:schemeClr val="tx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Book Antiqua" panose="02040602050305030304" pitchFamily="18" charset="0"/>
            <a:ea typeface="+mn-ea"/>
            <a:cs typeface="+mn-cs"/>
          </a:endParaRPr>
        </a:p>
        <a:p>
          <a:pPr marL="0" indent="0" algn="ctr"/>
          <a:endParaRPr lang="en-IN" sz="4400" b="1" cap="none" spc="50">
            <a:ln w="0"/>
            <a:solidFill>
              <a:schemeClr val="tx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Book Antiqua" panose="020406020503050303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131793</xdr:colOff>
      <xdr:row>11</xdr:row>
      <xdr:rowOff>71886</xdr:rowOff>
    </xdr:from>
    <xdr:to>
      <xdr:col>6</xdr:col>
      <xdr:colOff>11981</xdr:colOff>
      <xdr:row>21</xdr:row>
      <xdr:rowOff>70071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3C3A2E8-05A7-4DF3-879B-EBF8B33E9026}"/>
            </a:ext>
          </a:extLst>
        </xdr:cNvPr>
        <xdr:cNvSpPr txBox="1"/>
      </xdr:nvSpPr>
      <xdr:spPr>
        <a:xfrm>
          <a:off x="131793" y="2048773"/>
          <a:ext cx="3450565" cy="179535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tx1"/>
          </a:solidFill>
          <a:prstDash val="dash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4000" b="1">
              <a:solidFill>
                <a:schemeClr val="dk1"/>
              </a:solidFill>
              <a:effectLst/>
              <a:latin typeface="Book Antiqua" panose="02040602050305030304" pitchFamily="18" charset="0"/>
              <a:ea typeface="+mn-ea"/>
              <a:cs typeface="+mn-cs"/>
            </a:rPr>
            <a:t>Total </a:t>
          </a:r>
          <a:r>
            <a:rPr lang="en-IN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Revenue</a:t>
          </a:r>
          <a:endParaRPr lang="en-IN" sz="4000">
            <a:effectLst/>
            <a:latin typeface="Book Antiqua" panose="02040602050305030304" pitchFamily="18" charset="0"/>
          </a:endParaRPr>
        </a:p>
        <a:p>
          <a:pPr marL="0" indent="0" algn="ctr"/>
          <a:endParaRPr lang="en-IN" sz="4400" b="1" cap="none" spc="50">
            <a:ln w="0"/>
            <a:solidFill>
              <a:schemeClr val="tx1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Book Antiqua" panose="020406020503050303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104509</xdr:colOff>
      <xdr:row>15</xdr:row>
      <xdr:rowOff>80517</xdr:rowOff>
    </xdr:from>
    <xdr:to>
      <xdr:col>4</xdr:col>
      <xdr:colOff>478521</xdr:colOff>
      <xdr:row>21</xdr:row>
      <xdr:rowOff>145787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51C8A9A-0E94-44F0-A2F9-F00A79C0ABC6}"/>
            </a:ext>
          </a:extLst>
        </xdr:cNvPr>
        <xdr:cNvSpPr txBox="1"/>
      </xdr:nvSpPr>
      <xdr:spPr>
        <a:xfrm>
          <a:off x="104509" y="2776272"/>
          <a:ext cx="2985899" cy="1143572"/>
        </a:xfrm>
        <a:prstGeom prst="rect">
          <a:avLst/>
        </a:prstGeom>
        <a:noFill/>
        <a:ln>
          <a:noFill/>
        </a:ln>
        <a:effectLst>
          <a:outerShdw blurRad="50800" dist="38100" dir="13500000" algn="b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3600" b="0" i="0" u="none" strike="noStrike">
              <a:solidFill>
                <a:sysClr val="windowText" lastClr="000000"/>
              </a:solidFill>
              <a:effectLst/>
              <a:latin typeface="Book Antiqua" panose="02040602050305030304" pitchFamily="18" charset="0"/>
              <a:ea typeface="+mn-ea"/>
              <a:cs typeface="+mn-cs"/>
            </a:rPr>
            <a:t>₹ 44,53,178  </a:t>
          </a:r>
          <a:endParaRPr lang="en-US" sz="3600" b="0" i="0" u="none" strike="noStrike">
            <a:solidFill>
              <a:sysClr val="windowText" lastClr="000000"/>
            </a:solidFill>
            <a:effectLst/>
            <a:latin typeface="Book Antiqua" panose="02040602050305030304" pitchFamily="18" charset="0"/>
            <a:ea typeface="+mn-ea"/>
            <a:cs typeface="+mn-cs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di roshitha" refreshedDate="46104.41895324074" createdVersion="8" refreshedVersion="8" minRefreshableVersion="3" recordCount="30" xr:uid="{B85A4AF3-1A53-40E6-A11C-F0F27F668852}">
  <cacheSource type="worksheet">
    <worksheetSource name="Table4"/>
  </cacheSource>
  <cacheFields count="3">
    <cacheField name="AgentID" numFmtId="0">
      <sharedItems/>
    </cacheField>
    <cacheField name="Total FYP" numFmtId="164">
      <sharedItems containsSemiMixedTypes="0" containsString="0" containsNumber="1" containsInteger="1" minValue="87974" maxValue="214870"/>
    </cacheField>
    <cacheField name="Result" numFmtId="0">
      <sharedItems count="3">
        <s v="low"/>
        <s v="average"/>
        <s v="st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di roshitha" refreshedDate="46104.418953703702" createdVersion="8" refreshedVersion="8" minRefreshableVersion="3" recordCount="130" xr:uid="{9531E537-B327-468E-934E-A6AA7A76B9C2}">
  <cacheSource type="worksheet">
    <worksheetSource name="Table3"/>
  </cacheSource>
  <cacheFields count="4">
    <cacheField name="AgentID" numFmtId="0">
      <sharedItems/>
    </cacheField>
    <cacheField name="Meetings LastMonth" numFmtId="0">
      <sharedItems containsSemiMixedTypes="0" containsString="0" containsNumber="1" containsInteger="1" minValue="2" maxValue="50"/>
    </cacheField>
    <cacheField name="Sales LastMonth" numFmtId="0">
      <sharedItems containsSemiMixedTypes="0" containsString="0" containsNumber="1" containsInteger="1" minValue="1" maxValue="12"/>
    </cacheField>
    <cacheField name="Risk" numFmtId="0">
      <sharedItems count="2">
        <s v="Medium Risk"/>
        <s v="Low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di roshitha" refreshedDate="46104.418954166664" createdVersion="8" refreshedVersion="8" minRefreshableVersion="3" recordCount="130" xr:uid="{85E72200-6358-4DC0-BA0D-B50AF16E1489}">
  <cacheSource type="worksheet">
    <worksheetSource name="Table2"/>
  </cacheSource>
  <cacheFields count="12">
    <cacheField name="AgentID" numFmtId="0">
      <sharedItems count="130">
        <s v="A101"/>
        <s v="A102"/>
        <s v="A103"/>
        <s v="A104"/>
        <s v="A105"/>
        <s v="A106"/>
        <s v="A107"/>
        <s v="A108"/>
        <s v="A109"/>
        <s v="A110"/>
        <s v="A111"/>
        <s v="A112"/>
        <s v="A113"/>
        <s v="A114"/>
        <s v="A115"/>
        <s v="A116"/>
        <s v="A117"/>
        <s v="A118"/>
        <s v="A119"/>
        <s v="A120"/>
        <s v="A121"/>
        <s v="A122"/>
        <s v="A123"/>
        <s v="A124"/>
        <s v="A125"/>
        <s v="A126"/>
        <s v="A127"/>
        <s v="A128"/>
        <s v="A129"/>
        <s v="A130"/>
        <s v="A131" u="1"/>
        <s v="A132" u="1"/>
        <s v="A133" u="1"/>
        <s v="A134" u="1"/>
        <s v="A135" u="1"/>
        <s v="A136" u="1"/>
        <s v="A137" u="1"/>
        <s v="A138" u="1"/>
        <s v="A139" u="1"/>
        <s v="A140" u="1"/>
        <s v="A141" u="1"/>
        <s v="A142" u="1"/>
        <s v="A143" u="1"/>
        <s v="A144" u="1"/>
        <s v="A145" u="1"/>
        <s v="A146" u="1"/>
        <s v="A147" u="1"/>
        <s v="A148" u="1"/>
        <s v="A149" u="1"/>
        <s v="A150" u="1"/>
        <s v="A151" u="1"/>
        <s v="A152" u="1"/>
        <s v="A153" u="1"/>
        <s v="A154" u="1"/>
        <s v="A155" u="1"/>
        <s v="A156" u="1"/>
        <s v="A157" u="1"/>
        <s v="A158" u="1"/>
        <s v="A159" u="1"/>
        <s v="A160" u="1"/>
        <s v="A161" u="1"/>
        <s v="A162" u="1"/>
        <s v="A163" u="1"/>
        <s v="A164" u="1"/>
        <s v="A165" u="1"/>
        <s v="A166" u="1"/>
        <s v="A167" u="1"/>
        <s v="A168" u="1"/>
        <s v="A169" u="1"/>
        <s v="A170" u="1"/>
        <s v="A171" u="1"/>
        <s v="A172" u="1"/>
        <s v="A173" u="1"/>
        <s v="A174" u="1"/>
        <s v="A175" u="1"/>
        <s v="A176" u="1"/>
        <s v="A177" u="1"/>
        <s v="A178" u="1"/>
        <s v="A179" u="1"/>
        <s v="A180" u="1"/>
        <s v="A181" u="1"/>
        <s v="A182" u="1"/>
        <s v="A183" u="1"/>
        <s v="A184" u="1"/>
        <s v="A185" u="1"/>
        <s v="A186" u="1"/>
        <s v="A187" u="1"/>
        <s v="A188" u="1"/>
        <s v="A189" u="1"/>
        <s v="A190" u="1"/>
        <s v="A191" u="1"/>
        <s v="A192" u="1"/>
        <s v="A193" u="1"/>
        <s v="A194" u="1"/>
        <s v="A195" u="1"/>
        <s v="A196" u="1"/>
        <s v="A197" u="1"/>
        <s v="A198" u="1"/>
        <s v="A199" u="1"/>
        <s v="A200" u="1"/>
        <s v="A201" u="1"/>
        <s v="A202" u="1"/>
        <s v="A203" u="1"/>
        <s v="A204" u="1"/>
        <s v="A205" u="1"/>
        <s v="A206" u="1"/>
        <s v="A207" u="1"/>
        <s v="A208" u="1"/>
        <s v="A209" u="1"/>
        <s v="A210" u="1"/>
        <s v="A211" u="1"/>
        <s v="A212" u="1"/>
        <s v="A213" u="1"/>
        <s v="A214" u="1"/>
        <s v="A215" u="1"/>
        <s v="A216" u="1"/>
        <s v="A217" u="1"/>
        <s v="A218" u="1"/>
        <s v="A219" u="1"/>
        <s v="A220" u="1"/>
        <s v="A221" u="1"/>
        <s v="A222" u="1"/>
        <s v="A223" u="1"/>
        <s v="A224" u="1"/>
        <s v="A225" u="1"/>
        <s v="A226" u="1"/>
        <s v="A227" u="1"/>
        <s v="A228" u="1"/>
        <s v="A229" u="1"/>
        <s v="A230" u="1"/>
      </sharedItems>
    </cacheField>
    <cacheField name="Month" numFmtId="0">
      <sharedItems/>
    </cacheField>
    <cacheField name="Calls" numFmtId="0">
      <sharedItems containsSemiMixedTypes="0" containsString="0" containsNumber="1" containsInteger="1" minValue="70" maxValue="160"/>
    </cacheField>
    <cacheField name="Meetings" numFmtId="0">
      <sharedItems containsSemiMixedTypes="0" containsString="0" containsNumber="1" containsInteger="1" minValue="6" maxValue="50"/>
    </cacheField>
    <cacheField name="Proposals" numFmtId="0">
      <sharedItems containsSemiMixedTypes="0" containsString="0" containsNumber="1" containsInteger="1" minValue="2" maxValue="25"/>
    </cacheField>
    <cacheField name="Sales" numFmtId="0">
      <sharedItems containsSemiMixedTypes="0" containsString="0" containsNumber="1" containsInteger="1" minValue="1" maxValue="15"/>
    </cacheField>
    <cacheField name="FYP" numFmtId="0">
      <sharedItems containsSemiMixedTypes="0" containsString="0" containsNumber="1" containsInteger="1" minValue="8247" maxValue="59601"/>
    </cacheField>
    <cacheField name="Meeting Rate" numFmtId="2">
      <sharedItems containsSemiMixedTypes="0" containsString="0" containsNumber="1" minValue="3.896103896103896E-2" maxValue="0.60240963855421692"/>
    </cacheField>
    <cacheField name="Proposal Rate" numFmtId="2">
      <sharedItems containsSemiMixedTypes="0" containsString="0" containsNumber="1" minValue="4.7619047619047616E-2" maxValue="4.166666666666667"/>
    </cacheField>
    <cacheField name="Sales Conversion" numFmtId="2">
      <sharedItems containsSemiMixedTypes="0" containsString="0" containsNumber="1" minValue="5.5555555555555552E-2" maxValue="4.666666666666667"/>
    </cacheField>
    <cacheField name="Problem" numFmtId="0">
      <sharedItems count="4">
        <s v="Strong Performer"/>
        <s v="Poor Closing"/>
        <s v="Poor Communication"/>
        <s v="Poor Pitching"/>
      </sharedItems>
    </cacheField>
    <cacheField name="Sales LastMonth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A101"/>
    <n v="93402"/>
    <x v="0"/>
  </r>
  <r>
    <s v="A102"/>
    <n v="192961"/>
    <x v="1"/>
  </r>
  <r>
    <s v="A103"/>
    <n v="160145"/>
    <x v="1"/>
  </r>
  <r>
    <s v="A104"/>
    <n v="132791"/>
    <x v="0"/>
  </r>
  <r>
    <s v="A105"/>
    <n v="195648"/>
    <x v="2"/>
  </r>
  <r>
    <s v="A106"/>
    <n v="150672"/>
    <x v="0"/>
  </r>
  <r>
    <s v="A107"/>
    <n v="214870"/>
    <x v="2"/>
  </r>
  <r>
    <s v="A108"/>
    <n v="154177"/>
    <x v="1"/>
  </r>
  <r>
    <s v="A109"/>
    <n v="174166"/>
    <x v="1"/>
  </r>
  <r>
    <s v="A110"/>
    <n v="127214"/>
    <x v="0"/>
  </r>
  <r>
    <s v="A111"/>
    <n v="105857"/>
    <x v="0"/>
  </r>
  <r>
    <s v="A112"/>
    <n v="170342"/>
    <x v="1"/>
  </r>
  <r>
    <s v="A113"/>
    <n v="170172"/>
    <x v="1"/>
  </r>
  <r>
    <s v="A114"/>
    <n v="128459"/>
    <x v="0"/>
  </r>
  <r>
    <s v="A115"/>
    <n v="158768"/>
    <x v="1"/>
  </r>
  <r>
    <s v="A116"/>
    <n v="194258"/>
    <x v="2"/>
  </r>
  <r>
    <s v="A117"/>
    <n v="171797"/>
    <x v="1"/>
  </r>
  <r>
    <s v="A118"/>
    <n v="89791"/>
    <x v="0"/>
  </r>
  <r>
    <s v="A119"/>
    <n v="148222"/>
    <x v="0"/>
  </r>
  <r>
    <s v="A120"/>
    <n v="167033"/>
    <x v="1"/>
  </r>
  <r>
    <s v="A121"/>
    <n v="120277"/>
    <x v="0"/>
  </r>
  <r>
    <s v="A122"/>
    <n v="155405"/>
    <x v="1"/>
  </r>
  <r>
    <s v="A123"/>
    <n v="134755"/>
    <x v="0"/>
  </r>
  <r>
    <s v="A124"/>
    <n v="165598"/>
    <x v="1"/>
  </r>
  <r>
    <s v="A125"/>
    <n v="189793"/>
    <x v="1"/>
  </r>
  <r>
    <s v="A126"/>
    <n v="87974"/>
    <x v="0"/>
  </r>
  <r>
    <s v="A127"/>
    <n v="110007"/>
    <x v="0"/>
  </r>
  <r>
    <s v="A128"/>
    <n v="143420"/>
    <x v="0"/>
  </r>
  <r>
    <s v="A129"/>
    <n v="110467"/>
    <x v="0"/>
  </r>
  <r>
    <s v="A130"/>
    <n v="134737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s v="A101"/>
    <n v="8"/>
    <n v="1"/>
    <x v="0"/>
  </r>
  <r>
    <s v="A102"/>
    <n v="48"/>
    <n v="2"/>
    <x v="1"/>
  </r>
  <r>
    <s v="A103"/>
    <n v="31"/>
    <n v="3"/>
    <x v="1"/>
  </r>
  <r>
    <s v="A104"/>
    <n v="27"/>
    <n v="4"/>
    <x v="1"/>
  </r>
  <r>
    <s v="A105"/>
    <n v="27"/>
    <n v="5"/>
    <x v="1"/>
  </r>
  <r>
    <s v="A106"/>
    <n v="13"/>
    <n v="6"/>
    <x v="1"/>
  </r>
  <r>
    <s v="A107"/>
    <n v="6"/>
    <n v="7"/>
    <x v="0"/>
  </r>
  <r>
    <s v="A108"/>
    <n v="32"/>
    <n v="8"/>
    <x v="1"/>
  </r>
  <r>
    <s v="A109"/>
    <n v="42"/>
    <n v="9"/>
    <x v="1"/>
  </r>
  <r>
    <s v="A110"/>
    <n v="22"/>
    <n v="10"/>
    <x v="1"/>
  </r>
  <r>
    <s v="A111"/>
    <n v="48"/>
    <n v="11"/>
    <x v="1"/>
  </r>
  <r>
    <s v="A112"/>
    <n v="7"/>
    <n v="12"/>
    <x v="0"/>
  </r>
  <r>
    <s v="A113"/>
    <n v="24"/>
    <n v="1"/>
    <x v="1"/>
  </r>
  <r>
    <s v="A114"/>
    <n v="6"/>
    <n v="2"/>
    <x v="0"/>
  </r>
  <r>
    <s v="A115"/>
    <n v="47"/>
    <n v="3"/>
    <x v="1"/>
  </r>
  <r>
    <s v="A116"/>
    <n v="29"/>
    <n v="4"/>
    <x v="1"/>
  </r>
  <r>
    <s v="A117"/>
    <n v="5"/>
    <n v="5"/>
    <x v="0"/>
  </r>
  <r>
    <s v="A118"/>
    <n v="15"/>
    <n v="6"/>
    <x v="1"/>
  </r>
  <r>
    <s v="A119"/>
    <n v="13"/>
    <n v="7"/>
    <x v="1"/>
  </r>
  <r>
    <s v="A120"/>
    <n v="14"/>
    <n v="8"/>
    <x v="1"/>
  </r>
  <r>
    <s v="A121"/>
    <n v="13"/>
    <n v="9"/>
    <x v="1"/>
  </r>
  <r>
    <s v="A122"/>
    <n v="36"/>
    <n v="10"/>
    <x v="1"/>
  </r>
  <r>
    <s v="A123"/>
    <n v="34"/>
    <n v="11"/>
    <x v="1"/>
  </r>
  <r>
    <s v="A124"/>
    <n v="19"/>
    <n v="12"/>
    <x v="1"/>
  </r>
  <r>
    <s v="A125"/>
    <n v="37"/>
    <n v="1"/>
    <x v="1"/>
  </r>
  <r>
    <s v="A126"/>
    <n v="49"/>
    <n v="2"/>
    <x v="1"/>
  </r>
  <r>
    <s v="A127"/>
    <n v="16"/>
    <n v="3"/>
    <x v="1"/>
  </r>
  <r>
    <s v="A128"/>
    <n v="10"/>
    <n v="4"/>
    <x v="1"/>
  </r>
  <r>
    <s v="A129"/>
    <n v="2"/>
    <n v="5"/>
    <x v="0"/>
  </r>
  <r>
    <s v="A130"/>
    <n v="10"/>
    <n v="6"/>
    <x v="1"/>
  </r>
  <r>
    <s v="A101"/>
    <n v="26"/>
    <n v="7"/>
    <x v="1"/>
  </r>
  <r>
    <s v="A102"/>
    <n v="12"/>
    <n v="8"/>
    <x v="1"/>
  </r>
  <r>
    <s v="A103"/>
    <n v="26"/>
    <n v="9"/>
    <x v="1"/>
  </r>
  <r>
    <s v="A104"/>
    <n v="23"/>
    <n v="10"/>
    <x v="1"/>
  </r>
  <r>
    <s v="A105"/>
    <n v="45"/>
    <n v="11"/>
    <x v="1"/>
  </r>
  <r>
    <s v="A106"/>
    <n v="22"/>
    <n v="12"/>
    <x v="1"/>
  </r>
  <r>
    <s v="A107"/>
    <n v="12"/>
    <n v="1"/>
    <x v="1"/>
  </r>
  <r>
    <s v="A108"/>
    <n v="47"/>
    <n v="2"/>
    <x v="1"/>
  </r>
  <r>
    <s v="A109"/>
    <n v="25"/>
    <n v="3"/>
    <x v="1"/>
  </r>
  <r>
    <s v="A110"/>
    <n v="18"/>
    <n v="4"/>
    <x v="1"/>
  </r>
  <r>
    <s v="A111"/>
    <n v="44"/>
    <n v="5"/>
    <x v="1"/>
  </r>
  <r>
    <s v="A112"/>
    <n v="43"/>
    <n v="6"/>
    <x v="1"/>
  </r>
  <r>
    <s v="A113"/>
    <n v="40"/>
    <n v="7"/>
    <x v="1"/>
  </r>
  <r>
    <s v="A114"/>
    <n v="47"/>
    <n v="8"/>
    <x v="1"/>
  </r>
  <r>
    <s v="A115"/>
    <n v="7"/>
    <n v="9"/>
    <x v="0"/>
  </r>
  <r>
    <s v="A116"/>
    <n v="40"/>
    <n v="10"/>
    <x v="1"/>
  </r>
  <r>
    <s v="A117"/>
    <n v="5"/>
    <n v="11"/>
    <x v="0"/>
  </r>
  <r>
    <s v="A118"/>
    <n v="26"/>
    <n v="12"/>
    <x v="1"/>
  </r>
  <r>
    <s v="A119"/>
    <n v="26"/>
    <n v="1"/>
    <x v="1"/>
  </r>
  <r>
    <s v="A120"/>
    <n v="11"/>
    <n v="2"/>
    <x v="1"/>
  </r>
  <r>
    <s v="A121"/>
    <n v="40"/>
    <n v="3"/>
    <x v="1"/>
  </r>
  <r>
    <s v="A122"/>
    <n v="22"/>
    <n v="4"/>
    <x v="1"/>
  </r>
  <r>
    <s v="A123"/>
    <n v="46"/>
    <n v="5"/>
    <x v="1"/>
  </r>
  <r>
    <s v="A124"/>
    <n v="40"/>
    <n v="6"/>
    <x v="1"/>
  </r>
  <r>
    <s v="A125"/>
    <n v="28"/>
    <n v="7"/>
    <x v="1"/>
  </r>
  <r>
    <s v="A126"/>
    <n v="31"/>
    <n v="8"/>
    <x v="1"/>
  </r>
  <r>
    <s v="A127"/>
    <n v="32"/>
    <n v="9"/>
    <x v="1"/>
  </r>
  <r>
    <s v="A128"/>
    <n v="46"/>
    <n v="10"/>
    <x v="1"/>
  </r>
  <r>
    <s v="A129"/>
    <n v="16"/>
    <n v="11"/>
    <x v="1"/>
  </r>
  <r>
    <s v="A130"/>
    <n v="10"/>
    <n v="12"/>
    <x v="1"/>
  </r>
  <r>
    <s v="A101"/>
    <n v="29"/>
    <n v="1"/>
    <x v="1"/>
  </r>
  <r>
    <s v="A102"/>
    <n v="36"/>
    <n v="2"/>
    <x v="1"/>
  </r>
  <r>
    <s v="A103"/>
    <n v="32"/>
    <n v="3"/>
    <x v="1"/>
  </r>
  <r>
    <s v="A104"/>
    <n v="3"/>
    <n v="4"/>
    <x v="0"/>
  </r>
  <r>
    <s v="A105"/>
    <n v="16"/>
    <n v="5"/>
    <x v="1"/>
  </r>
  <r>
    <s v="A106"/>
    <n v="46"/>
    <n v="6"/>
    <x v="1"/>
  </r>
  <r>
    <s v="A107"/>
    <n v="24"/>
    <n v="7"/>
    <x v="1"/>
  </r>
  <r>
    <s v="A108"/>
    <n v="36"/>
    <n v="8"/>
    <x v="1"/>
  </r>
  <r>
    <s v="A109"/>
    <n v="24"/>
    <n v="9"/>
    <x v="1"/>
  </r>
  <r>
    <s v="A110"/>
    <n v="28"/>
    <n v="10"/>
    <x v="1"/>
  </r>
  <r>
    <s v="A111"/>
    <n v="33"/>
    <n v="11"/>
    <x v="1"/>
  </r>
  <r>
    <s v="A112"/>
    <n v="21"/>
    <n v="12"/>
    <x v="1"/>
  </r>
  <r>
    <s v="A113"/>
    <n v="7"/>
    <n v="1"/>
    <x v="0"/>
  </r>
  <r>
    <s v="A114"/>
    <n v="2"/>
    <n v="2"/>
    <x v="0"/>
  </r>
  <r>
    <s v="A115"/>
    <n v="18"/>
    <n v="3"/>
    <x v="1"/>
  </r>
  <r>
    <s v="A116"/>
    <n v="25"/>
    <n v="4"/>
    <x v="1"/>
  </r>
  <r>
    <s v="A117"/>
    <n v="13"/>
    <n v="5"/>
    <x v="1"/>
  </r>
  <r>
    <s v="A118"/>
    <n v="15"/>
    <n v="6"/>
    <x v="1"/>
  </r>
  <r>
    <s v="A119"/>
    <n v="13"/>
    <n v="7"/>
    <x v="1"/>
  </r>
  <r>
    <s v="A120"/>
    <n v="23"/>
    <n v="8"/>
    <x v="1"/>
  </r>
  <r>
    <s v="A121"/>
    <n v="13"/>
    <n v="9"/>
    <x v="1"/>
  </r>
  <r>
    <s v="A122"/>
    <n v="48"/>
    <n v="10"/>
    <x v="1"/>
  </r>
  <r>
    <s v="A123"/>
    <n v="14"/>
    <n v="11"/>
    <x v="1"/>
  </r>
  <r>
    <s v="A124"/>
    <n v="50"/>
    <n v="12"/>
    <x v="1"/>
  </r>
  <r>
    <s v="A125"/>
    <n v="34"/>
    <n v="1"/>
    <x v="1"/>
  </r>
  <r>
    <s v="A126"/>
    <n v="32"/>
    <n v="2"/>
    <x v="1"/>
  </r>
  <r>
    <s v="A127"/>
    <n v="11"/>
    <n v="3"/>
    <x v="1"/>
  </r>
  <r>
    <s v="A128"/>
    <n v="3"/>
    <n v="4"/>
    <x v="0"/>
  </r>
  <r>
    <s v="A129"/>
    <n v="39"/>
    <n v="5"/>
    <x v="1"/>
  </r>
  <r>
    <s v="A130"/>
    <n v="18"/>
    <n v="6"/>
    <x v="1"/>
  </r>
  <r>
    <s v="A101"/>
    <n v="14"/>
    <n v="7"/>
    <x v="1"/>
  </r>
  <r>
    <s v="A102"/>
    <n v="29"/>
    <n v="8"/>
    <x v="1"/>
  </r>
  <r>
    <s v="A103"/>
    <n v="27"/>
    <n v="9"/>
    <x v="1"/>
  </r>
  <r>
    <s v="A104"/>
    <n v="16"/>
    <n v="10"/>
    <x v="1"/>
  </r>
  <r>
    <s v="A105"/>
    <n v="16"/>
    <n v="11"/>
    <x v="1"/>
  </r>
  <r>
    <s v="A106"/>
    <n v="30"/>
    <n v="12"/>
    <x v="1"/>
  </r>
  <r>
    <s v="A107"/>
    <n v="40"/>
    <n v="1"/>
    <x v="1"/>
  </r>
  <r>
    <s v="A108"/>
    <n v="37"/>
    <n v="2"/>
    <x v="1"/>
  </r>
  <r>
    <s v="A109"/>
    <n v="27"/>
    <n v="3"/>
    <x v="1"/>
  </r>
  <r>
    <s v="A110"/>
    <n v="5"/>
    <n v="4"/>
    <x v="0"/>
  </r>
  <r>
    <s v="A111"/>
    <n v="39"/>
    <n v="5"/>
    <x v="1"/>
  </r>
  <r>
    <s v="A112"/>
    <n v="13"/>
    <n v="6"/>
    <x v="1"/>
  </r>
  <r>
    <s v="A113"/>
    <n v="19"/>
    <n v="7"/>
    <x v="1"/>
  </r>
  <r>
    <s v="A114"/>
    <n v="23"/>
    <n v="8"/>
    <x v="1"/>
  </r>
  <r>
    <s v="A115"/>
    <n v="38"/>
    <n v="9"/>
    <x v="1"/>
  </r>
  <r>
    <s v="A116"/>
    <n v="19"/>
    <n v="10"/>
    <x v="1"/>
  </r>
  <r>
    <s v="A117"/>
    <n v="45"/>
    <n v="11"/>
    <x v="1"/>
  </r>
  <r>
    <s v="A118"/>
    <n v="2"/>
    <n v="12"/>
    <x v="0"/>
  </r>
  <r>
    <s v="A119"/>
    <n v="45"/>
    <n v="1"/>
    <x v="1"/>
  </r>
  <r>
    <s v="A120"/>
    <n v="25"/>
    <n v="2"/>
    <x v="1"/>
  </r>
  <r>
    <s v="A121"/>
    <n v="33"/>
    <n v="3"/>
    <x v="1"/>
  </r>
  <r>
    <s v="A122"/>
    <n v="38"/>
    <n v="4"/>
    <x v="1"/>
  </r>
  <r>
    <s v="A123"/>
    <n v="7"/>
    <n v="5"/>
    <x v="0"/>
  </r>
  <r>
    <s v="A124"/>
    <n v="32"/>
    <n v="6"/>
    <x v="1"/>
  </r>
  <r>
    <s v="A125"/>
    <n v="21"/>
    <n v="7"/>
    <x v="1"/>
  </r>
  <r>
    <s v="A126"/>
    <n v="11"/>
    <n v="8"/>
    <x v="1"/>
  </r>
  <r>
    <s v="A127"/>
    <n v="36"/>
    <n v="9"/>
    <x v="1"/>
  </r>
  <r>
    <s v="A128"/>
    <n v="14"/>
    <n v="10"/>
    <x v="1"/>
  </r>
  <r>
    <s v="A129"/>
    <n v="49"/>
    <n v="11"/>
    <x v="1"/>
  </r>
  <r>
    <s v="A130"/>
    <n v="3"/>
    <n v="12"/>
    <x v="0"/>
  </r>
  <r>
    <s v="A101"/>
    <n v="41"/>
    <n v="1"/>
    <x v="1"/>
  </r>
  <r>
    <s v="A102"/>
    <n v="15"/>
    <n v="2"/>
    <x v="1"/>
  </r>
  <r>
    <s v="A103"/>
    <n v="39"/>
    <n v="3"/>
    <x v="1"/>
  </r>
  <r>
    <s v="A104"/>
    <n v="34"/>
    <n v="4"/>
    <x v="1"/>
  </r>
  <r>
    <s v="A105"/>
    <n v="10"/>
    <n v="5"/>
    <x v="1"/>
  </r>
  <r>
    <s v="A106"/>
    <n v="50"/>
    <n v="6"/>
    <x v="1"/>
  </r>
  <r>
    <s v="A107"/>
    <n v="17"/>
    <n v="7"/>
    <x v="1"/>
  </r>
  <r>
    <s v="A108"/>
    <n v="17"/>
    <n v="8"/>
    <x v="1"/>
  </r>
  <r>
    <s v="A109"/>
    <n v="48"/>
    <n v="9"/>
    <x v="1"/>
  </r>
  <r>
    <s v="A110"/>
    <n v="35"/>
    <n v="1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x v="0"/>
    <s v="Jan"/>
    <n v="90"/>
    <n v="19"/>
    <n v="9"/>
    <n v="7"/>
    <n v="52811"/>
    <n v="0.21111111111111111"/>
    <n v="0.47368421052631576"/>
    <n v="0.77777777777777779"/>
    <x v="0"/>
    <n v="1"/>
  </r>
  <r>
    <x v="1"/>
    <s v="Feb"/>
    <n v="84"/>
    <n v="36"/>
    <n v="17"/>
    <n v="6"/>
    <n v="20225"/>
    <n v="0.42857142857142855"/>
    <n v="0.47222222222222221"/>
    <n v="0.35294117647058826"/>
    <x v="0"/>
    <n v="2"/>
  </r>
  <r>
    <x v="2"/>
    <s v="Mar"/>
    <n v="150"/>
    <n v="35"/>
    <n v="4"/>
    <n v="11"/>
    <n v="32714"/>
    <n v="0.23333333333333334"/>
    <n v="0.11428571428571428"/>
    <n v="2.75"/>
    <x v="1"/>
    <n v="3"/>
  </r>
  <r>
    <x v="3"/>
    <s v="Apr"/>
    <n v="113"/>
    <n v="23"/>
    <n v="16"/>
    <n v="6"/>
    <n v="58685"/>
    <n v="0.20353982300884957"/>
    <n v="0.69565217391304346"/>
    <n v="0.375"/>
    <x v="0"/>
    <n v="4"/>
  </r>
  <r>
    <x v="4"/>
    <s v="May"/>
    <n v="72"/>
    <n v="11"/>
    <n v="8"/>
    <n v="15"/>
    <n v="58184"/>
    <n v="0.15277777777777779"/>
    <n v="0.72727272727272729"/>
    <n v="1.875"/>
    <x v="2"/>
    <n v="5"/>
  </r>
  <r>
    <x v="5"/>
    <s v="Jun"/>
    <n v="136"/>
    <n v="11"/>
    <n v="18"/>
    <n v="14"/>
    <n v="29456"/>
    <n v="8.0882352941176475E-2"/>
    <n v="1.6363636363636365"/>
    <n v="0.77777777777777779"/>
    <x v="2"/>
    <n v="6"/>
  </r>
  <r>
    <x v="6"/>
    <s v="Jul"/>
    <n v="95"/>
    <n v="22"/>
    <n v="4"/>
    <n v="12"/>
    <n v="21589"/>
    <n v="0.23157894736842105"/>
    <n v="0.18181818181818182"/>
    <n v="3"/>
    <x v="1"/>
    <n v="7"/>
  </r>
  <r>
    <x v="7"/>
    <s v="Aug"/>
    <n v="160"/>
    <n v="33"/>
    <n v="10"/>
    <n v="13"/>
    <n v="55757"/>
    <n v="0.20624999999999999"/>
    <n v="0.30303030303030304"/>
    <n v="1.3"/>
    <x v="0"/>
    <n v="8"/>
  </r>
  <r>
    <x v="8"/>
    <s v="Sep"/>
    <n v="99"/>
    <n v="12"/>
    <n v="15"/>
    <n v="7"/>
    <n v="46029"/>
    <n v="0.12121212121212122"/>
    <n v="1.25"/>
    <n v="0.46666666666666667"/>
    <x v="2"/>
    <n v="9"/>
  </r>
  <r>
    <x v="9"/>
    <s v="Oct"/>
    <n v="132"/>
    <n v="45"/>
    <n v="13"/>
    <n v="12"/>
    <n v="11875"/>
    <n v="0.34090909090909088"/>
    <n v="0.28888888888888886"/>
    <n v="0.92307692307692313"/>
    <x v="1"/>
    <n v="10"/>
  </r>
  <r>
    <x v="10"/>
    <s v="Nov"/>
    <n v="100"/>
    <n v="10"/>
    <n v="21"/>
    <n v="3"/>
    <n v="16173"/>
    <n v="0.1"/>
    <n v="2.1"/>
    <n v="0.14285714285714285"/>
    <x v="2"/>
    <n v="11"/>
  </r>
  <r>
    <x v="11"/>
    <s v="Dec"/>
    <n v="73"/>
    <n v="38"/>
    <n v="19"/>
    <n v="13"/>
    <n v="52339"/>
    <n v="0.52054794520547942"/>
    <n v="0.5"/>
    <n v="0.68421052631578949"/>
    <x v="0"/>
    <n v="12"/>
  </r>
  <r>
    <x v="12"/>
    <s v="Jan"/>
    <n v="130"/>
    <n v="22"/>
    <n v="20"/>
    <n v="4"/>
    <n v="20476"/>
    <n v="0.16923076923076924"/>
    <n v="0.90909090909090906"/>
    <n v="0.2"/>
    <x v="2"/>
    <n v="1"/>
  </r>
  <r>
    <x v="13"/>
    <s v="Feb"/>
    <n v="154"/>
    <n v="6"/>
    <n v="8"/>
    <n v="3"/>
    <n v="27615"/>
    <n v="3.896103896103896E-2"/>
    <n v="1.3333333333333333"/>
    <n v="0.375"/>
    <x v="2"/>
    <n v="2"/>
  </r>
  <r>
    <x v="14"/>
    <s v="Mar"/>
    <n v="152"/>
    <n v="13"/>
    <n v="3"/>
    <n v="14"/>
    <n v="27685"/>
    <n v="8.5526315789473686E-2"/>
    <n v="0.23076923076923078"/>
    <n v="4.666666666666667"/>
    <x v="2"/>
    <n v="3"/>
  </r>
  <r>
    <x v="15"/>
    <s v="Apr"/>
    <n v="112"/>
    <n v="48"/>
    <n v="5"/>
    <n v="11"/>
    <n v="43565"/>
    <n v="0.42857142857142855"/>
    <n v="0.10416666666666667"/>
    <n v="2.2000000000000002"/>
    <x v="1"/>
    <n v="4"/>
  </r>
  <r>
    <x v="16"/>
    <s v="May"/>
    <n v="135"/>
    <n v="42"/>
    <n v="9"/>
    <n v="8"/>
    <n v="18195"/>
    <n v="0.31111111111111112"/>
    <n v="0.21428571428571427"/>
    <n v="0.88888888888888884"/>
    <x v="1"/>
    <n v="5"/>
  </r>
  <r>
    <x v="17"/>
    <s v="Jun"/>
    <n v="111"/>
    <n v="16"/>
    <n v="22"/>
    <n v="10"/>
    <n v="45811"/>
    <n v="0.14414414414414414"/>
    <n v="1.375"/>
    <n v="0.45454545454545453"/>
    <x v="2"/>
    <n v="6"/>
  </r>
  <r>
    <x v="18"/>
    <s v="Jul"/>
    <n v="78"/>
    <n v="13"/>
    <n v="24"/>
    <n v="15"/>
    <n v="40258"/>
    <n v="0.16666666666666666"/>
    <n v="1.8461538461538463"/>
    <n v="0.625"/>
    <x v="2"/>
    <n v="7"/>
  </r>
  <r>
    <x v="19"/>
    <s v="Aug"/>
    <n v="82"/>
    <n v="49"/>
    <n v="25"/>
    <n v="10"/>
    <n v="51679"/>
    <n v="0.59756097560975607"/>
    <n v="0.51020408163265307"/>
    <n v="0.4"/>
    <x v="0"/>
    <n v="8"/>
  </r>
  <r>
    <x v="20"/>
    <s v="Sep"/>
    <n v="101"/>
    <n v="6"/>
    <n v="11"/>
    <n v="6"/>
    <n v="52929"/>
    <n v="5.9405940594059403E-2"/>
    <n v="1.8333333333333333"/>
    <n v="0.54545454545454541"/>
    <x v="2"/>
    <n v="9"/>
  </r>
  <r>
    <x v="21"/>
    <s v="Oct"/>
    <n v="140"/>
    <n v="41"/>
    <n v="7"/>
    <n v="9"/>
    <n v="28687"/>
    <n v="0.29285714285714287"/>
    <n v="0.17073170731707318"/>
    <n v="1.2857142857142858"/>
    <x v="1"/>
    <n v="10"/>
  </r>
  <r>
    <x v="22"/>
    <s v="Nov"/>
    <n v="112"/>
    <n v="19"/>
    <n v="18"/>
    <n v="1"/>
    <n v="32668"/>
    <n v="0.16964285714285715"/>
    <n v="0.94736842105263153"/>
    <n v="5.5555555555555552E-2"/>
    <x v="2"/>
    <n v="11"/>
  </r>
  <r>
    <x v="23"/>
    <s v="Dec"/>
    <n v="111"/>
    <n v="48"/>
    <n v="18"/>
    <n v="3"/>
    <n v="25776"/>
    <n v="0.43243243243243246"/>
    <n v="0.375"/>
    <n v="0.16666666666666666"/>
    <x v="3"/>
    <n v="12"/>
  </r>
  <r>
    <x v="24"/>
    <s v="Jan"/>
    <n v="151"/>
    <n v="25"/>
    <n v="14"/>
    <n v="5"/>
    <n v="22385"/>
    <n v="0.16556291390728478"/>
    <n v="0.56000000000000005"/>
    <n v="0.35714285714285715"/>
    <x v="2"/>
    <n v="1"/>
  </r>
  <r>
    <x v="25"/>
    <s v="Feb"/>
    <n v="144"/>
    <n v="41"/>
    <n v="16"/>
    <n v="9"/>
    <n v="35690"/>
    <n v="0.28472222222222221"/>
    <n v="0.3902439024390244"/>
    <n v="0.5625"/>
    <x v="0"/>
    <n v="2"/>
  </r>
  <r>
    <x v="26"/>
    <s v="Mar"/>
    <n v="106"/>
    <n v="50"/>
    <n v="21"/>
    <n v="7"/>
    <n v="35276"/>
    <n v="0.47169811320754718"/>
    <n v="0.42"/>
    <n v="0.33333333333333331"/>
    <x v="0"/>
    <n v="3"/>
  </r>
  <r>
    <x v="27"/>
    <s v="Apr"/>
    <n v="152"/>
    <n v="21"/>
    <n v="22"/>
    <n v="4"/>
    <n v="31096"/>
    <n v="0.13815789473684212"/>
    <n v="1.0476190476190477"/>
    <n v="0.18181818181818182"/>
    <x v="2"/>
    <n v="4"/>
  </r>
  <r>
    <x v="28"/>
    <s v="May"/>
    <n v="149"/>
    <n v="46"/>
    <n v="24"/>
    <n v="3"/>
    <n v="40485"/>
    <n v="0.3087248322147651"/>
    <n v="0.52173913043478259"/>
    <n v="0.125"/>
    <x v="3"/>
    <n v="5"/>
  </r>
  <r>
    <x v="29"/>
    <s v="Jun"/>
    <n v="133"/>
    <n v="27"/>
    <n v="7"/>
    <n v="3"/>
    <n v="22173"/>
    <n v="0.20300751879699247"/>
    <n v="0.25925925925925924"/>
    <n v="0.42857142857142855"/>
    <x v="1"/>
    <n v="6"/>
  </r>
  <r>
    <x v="0"/>
    <s v="Jul"/>
    <n v="94"/>
    <n v="34"/>
    <n v="2"/>
    <n v="5"/>
    <n v="46749"/>
    <n v="0.36170212765957449"/>
    <n v="5.8823529411764705E-2"/>
    <n v="2.5"/>
    <x v="1"/>
    <n v="7"/>
  </r>
  <r>
    <x v="1"/>
    <s v="Aug"/>
    <n v="112"/>
    <n v="41"/>
    <n v="13"/>
    <n v="10"/>
    <n v="52374"/>
    <n v="0.36607142857142855"/>
    <n v="0.31707317073170732"/>
    <n v="0.76923076923076927"/>
    <x v="0"/>
    <n v="8"/>
  </r>
  <r>
    <x v="2"/>
    <s v="Sep"/>
    <n v="89"/>
    <n v="50"/>
    <n v="24"/>
    <n v="4"/>
    <n v="47535"/>
    <n v="0.5617977528089888"/>
    <n v="0.48"/>
    <n v="0.16666666666666666"/>
    <x v="3"/>
    <n v="9"/>
  </r>
  <r>
    <x v="3"/>
    <s v="Oct"/>
    <n v="124"/>
    <n v="48"/>
    <n v="21"/>
    <n v="6"/>
    <n v="52607"/>
    <n v="0.38709677419354838"/>
    <n v="0.4375"/>
    <n v="0.2857142857142857"/>
    <x v="3"/>
    <n v="10"/>
  </r>
  <r>
    <x v="4"/>
    <s v="Nov"/>
    <n v="92"/>
    <n v="34"/>
    <n v="3"/>
    <n v="4"/>
    <n v="20941"/>
    <n v="0.36956521739130432"/>
    <n v="8.8235294117647065E-2"/>
    <n v="1.3333333333333333"/>
    <x v="1"/>
    <n v="11"/>
  </r>
  <r>
    <x v="5"/>
    <s v="Dec"/>
    <n v="75"/>
    <n v="20"/>
    <n v="13"/>
    <n v="14"/>
    <n v="40011"/>
    <n v="0.26666666666666666"/>
    <n v="0.65"/>
    <n v="1.0769230769230769"/>
    <x v="0"/>
    <n v="12"/>
  </r>
  <r>
    <x v="6"/>
    <s v="Jan"/>
    <n v="70"/>
    <n v="37"/>
    <n v="23"/>
    <n v="2"/>
    <n v="15492"/>
    <n v="0.52857142857142858"/>
    <n v="0.6216216216216216"/>
    <n v="8.6956521739130432E-2"/>
    <x v="3"/>
    <n v="1"/>
  </r>
  <r>
    <x v="7"/>
    <s v="Feb"/>
    <n v="160"/>
    <n v="17"/>
    <n v="12"/>
    <n v="7"/>
    <n v="56795"/>
    <n v="0.10625"/>
    <n v="0.70588235294117652"/>
    <n v="0.58333333333333337"/>
    <x v="2"/>
    <n v="2"/>
  </r>
  <r>
    <x v="8"/>
    <s v="Mar"/>
    <n v="157"/>
    <n v="7"/>
    <n v="15"/>
    <n v="14"/>
    <n v="59503"/>
    <n v="4.4585987261146494E-2"/>
    <n v="2.1428571428571428"/>
    <n v="0.93333333333333335"/>
    <x v="2"/>
    <n v="3"/>
  </r>
  <r>
    <x v="9"/>
    <s v="Apr"/>
    <n v="154"/>
    <n v="24"/>
    <n v="15"/>
    <n v="2"/>
    <n v="9695"/>
    <n v="0.15584415584415584"/>
    <n v="0.625"/>
    <n v="0.13333333333333333"/>
    <x v="2"/>
    <n v="4"/>
  </r>
  <r>
    <x v="10"/>
    <s v="May"/>
    <n v="121"/>
    <n v="7"/>
    <n v="25"/>
    <n v="3"/>
    <n v="51090"/>
    <n v="5.7851239669421489E-2"/>
    <n v="3.5714285714285716"/>
    <n v="0.12"/>
    <x v="2"/>
    <n v="5"/>
  </r>
  <r>
    <x v="11"/>
    <s v="Jun"/>
    <n v="122"/>
    <n v="6"/>
    <n v="3"/>
    <n v="8"/>
    <n v="33996"/>
    <n v="4.9180327868852458E-2"/>
    <n v="0.5"/>
    <n v="2.6666666666666665"/>
    <x v="2"/>
    <n v="6"/>
  </r>
  <r>
    <x v="12"/>
    <s v="Jul"/>
    <n v="118"/>
    <n v="41"/>
    <n v="8"/>
    <n v="12"/>
    <n v="18342"/>
    <n v="0.34745762711864409"/>
    <n v="0.1951219512195122"/>
    <n v="1.5"/>
    <x v="1"/>
    <n v="7"/>
  </r>
  <r>
    <x v="13"/>
    <s v="Aug"/>
    <n v="105"/>
    <n v="32"/>
    <n v="6"/>
    <n v="8"/>
    <n v="42923"/>
    <n v="0.30476190476190479"/>
    <n v="0.1875"/>
    <n v="1.3333333333333333"/>
    <x v="1"/>
    <n v="8"/>
  </r>
  <r>
    <x v="14"/>
    <s v="Sep"/>
    <n v="84"/>
    <n v="43"/>
    <n v="21"/>
    <n v="4"/>
    <n v="17848"/>
    <n v="0.51190476190476186"/>
    <n v="0.48837209302325579"/>
    <n v="0.19047619047619047"/>
    <x v="3"/>
    <n v="9"/>
  </r>
  <r>
    <x v="15"/>
    <s v="Oct"/>
    <n v="121"/>
    <n v="39"/>
    <n v="17"/>
    <n v="4"/>
    <n v="27996"/>
    <n v="0.32231404958677684"/>
    <n v="0.4358974358974359"/>
    <n v="0.23529411764705882"/>
    <x v="3"/>
    <n v="10"/>
  </r>
  <r>
    <x v="16"/>
    <s v="Nov"/>
    <n v="102"/>
    <n v="14"/>
    <n v="21"/>
    <n v="13"/>
    <n v="10336"/>
    <n v="0.13725490196078433"/>
    <n v="1.5"/>
    <n v="0.61904761904761907"/>
    <x v="2"/>
    <n v="11"/>
  </r>
  <r>
    <x v="17"/>
    <s v="Dec"/>
    <n v="132"/>
    <n v="19"/>
    <n v="9"/>
    <n v="5"/>
    <n v="45217"/>
    <n v="0.14393939393939395"/>
    <n v="0.47368421052631576"/>
    <n v="0.55555555555555558"/>
    <x v="2"/>
    <n v="12"/>
  </r>
  <r>
    <x v="18"/>
    <s v="Jan"/>
    <n v="142"/>
    <n v="38"/>
    <n v="20"/>
    <n v="10"/>
    <n v="55031"/>
    <n v="0.26760563380281688"/>
    <n v="0.52631578947368418"/>
    <n v="0.5"/>
    <x v="0"/>
    <n v="1"/>
  </r>
  <r>
    <x v="19"/>
    <s v="Feb"/>
    <n v="84"/>
    <n v="23"/>
    <n v="6"/>
    <n v="9"/>
    <n v="11306"/>
    <n v="0.27380952380952384"/>
    <n v="0.2608695652173913"/>
    <n v="1.5"/>
    <x v="1"/>
    <n v="2"/>
  </r>
  <r>
    <x v="20"/>
    <s v="Mar"/>
    <n v="136"/>
    <n v="29"/>
    <n v="19"/>
    <n v="8"/>
    <n v="40281"/>
    <n v="0.21323529411764705"/>
    <n v="0.65517241379310343"/>
    <n v="0.42105263157894735"/>
    <x v="0"/>
    <n v="3"/>
  </r>
  <r>
    <x v="21"/>
    <s v="Apr"/>
    <n v="111"/>
    <n v="23"/>
    <n v="13"/>
    <n v="1"/>
    <n v="15544"/>
    <n v="0.2072072072072072"/>
    <n v="0.56521739130434778"/>
    <n v="7.6923076923076927E-2"/>
    <x v="3"/>
    <n v="4"/>
  </r>
  <r>
    <x v="22"/>
    <s v="May"/>
    <n v="144"/>
    <n v="38"/>
    <n v="10"/>
    <n v="12"/>
    <n v="16122"/>
    <n v="0.2638888888888889"/>
    <n v="0.26315789473684209"/>
    <n v="1.2"/>
    <x v="1"/>
    <n v="5"/>
  </r>
  <r>
    <x v="23"/>
    <s v="Jun"/>
    <n v="84"/>
    <n v="15"/>
    <n v="23"/>
    <n v="14"/>
    <n v="15399"/>
    <n v="0.17857142857142858"/>
    <n v="1.5333333333333334"/>
    <n v="0.60869565217391308"/>
    <x v="2"/>
    <n v="6"/>
  </r>
  <r>
    <x v="24"/>
    <s v="Jul"/>
    <n v="110"/>
    <n v="7"/>
    <n v="7"/>
    <n v="15"/>
    <n v="18641"/>
    <n v="6.363636363636363E-2"/>
    <n v="1"/>
    <n v="2.1428571428571428"/>
    <x v="2"/>
    <n v="7"/>
  </r>
  <r>
    <x v="25"/>
    <s v="Aug"/>
    <n v="128"/>
    <n v="32"/>
    <n v="21"/>
    <n v="7"/>
    <n v="39147"/>
    <n v="0.25"/>
    <n v="0.65625"/>
    <n v="0.33333333333333331"/>
    <x v="0"/>
    <n v="8"/>
  </r>
  <r>
    <x v="26"/>
    <s v="Sep"/>
    <n v="127"/>
    <n v="40"/>
    <n v="6"/>
    <n v="4"/>
    <n v="15924"/>
    <n v="0.31496062992125984"/>
    <n v="0.15"/>
    <n v="0.66666666666666663"/>
    <x v="1"/>
    <n v="9"/>
  </r>
  <r>
    <x v="27"/>
    <s v="Oct"/>
    <n v="156"/>
    <n v="19"/>
    <n v="12"/>
    <n v="12"/>
    <n v="32045"/>
    <n v="0.12179487179487179"/>
    <n v="0.63157894736842102"/>
    <n v="1"/>
    <x v="2"/>
    <n v="10"/>
  </r>
  <r>
    <x v="28"/>
    <s v="Nov"/>
    <n v="79"/>
    <n v="10"/>
    <n v="3"/>
    <n v="10"/>
    <n v="8762"/>
    <n v="0.12658227848101267"/>
    <n v="0.3"/>
    <n v="3.3333333333333335"/>
    <x v="2"/>
    <n v="11"/>
  </r>
  <r>
    <x v="29"/>
    <s v="Dec"/>
    <n v="125"/>
    <n v="31"/>
    <n v="8"/>
    <n v="14"/>
    <n v="27037"/>
    <n v="0.248"/>
    <n v="0.25806451612903225"/>
    <n v="1.75"/>
    <x v="1"/>
    <n v="12"/>
  </r>
  <r>
    <x v="0"/>
    <s v="Jan"/>
    <n v="153"/>
    <n v="40"/>
    <n v="10"/>
    <n v="6"/>
    <n v="33264"/>
    <n v="0.26143790849673204"/>
    <n v="0.25"/>
    <n v="0.6"/>
    <x v="1"/>
    <n v="1"/>
  </r>
  <r>
    <x v="1"/>
    <s v="Feb"/>
    <n v="104"/>
    <n v="38"/>
    <n v="4"/>
    <n v="5"/>
    <n v="27277"/>
    <n v="0.36538461538461536"/>
    <n v="0.10526315789473684"/>
    <n v="1.25"/>
    <x v="1"/>
    <n v="2"/>
  </r>
  <r>
    <x v="2"/>
    <s v="Mar"/>
    <n v="114"/>
    <n v="33"/>
    <n v="4"/>
    <n v="8"/>
    <n v="17509"/>
    <n v="0.28947368421052633"/>
    <n v="0.12121212121212122"/>
    <n v="2"/>
    <x v="1"/>
    <n v="3"/>
  </r>
  <r>
    <x v="3"/>
    <s v="Apr"/>
    <n v="77"/>
    <n v="41"/>
    <n v="13"/>
    <n v="2"/>
    <n v="24967"/>
    <n v="0.53246753246753242"/>
    <n v="0.31707317073170732"/>
    <n v="0.15384615384615385"/>
    <x v="3"/>
    <n v="4"/>
  </r>
  <r>
    <x v="4"/>
    <s v="May"/>
    <n v="139"/>
    <n v="33"/>
    <n v="17"/>
    <n v="13"/>
    <n v="56823"/>
    <n v="0.23741007194244604"/>
    <n v="0.51515151515151514"/>
    <n v="0.76470588235294112"/>
    <x v="0"/>
    <n v="5"/>
  </r>
  <r>
    <x v="5"/>
    <s v="Jun"/>
    <n v="83"/>
    <n v="50"/>
    <n v="21"/>
    <n v="12"/>
    <n v="34039"/>
    <n v="0.60240963855421692"/>
    <n v="0.42"/>
    <n v="0.5714285714285714"/>
    <x v="0"/>
    <n v="6"/>
  </r>
  <r>
    <x v="6"/>
    <s v="Jul"/>
    <n v="81"/>
    <n v="21"/>
    <n v="20"/>
    <n v="9"/>
    <n v="56394"/>
    <n v="0.25925925925925924"/>
    <n v="0.95238095238095233"/>
    <n v="0.45"/>
    <x v="0"/>
    <n v="7"/>
  </r>
  <r>
    <x v="7"/>
    <s v="Aug"/>
    <n v="106"/>
    <n v="37"/>
    <n v="2"/>
    <n v="6"/>
    <n v="32920"/>
    <n v="0.34905660377358488"/>
    <n v="5.4054054054054057E-2"/>
    <n v="3"/>
    <x v="1"/>
    <n v="8"/>
  </r>
  <r>
    <x v="8"/>
    <s v="Sep"/>
    <n v="110"/>
    <n v="20"/>
    <n v="23"/>
    <n v="10"/>
    <n v="11186"/>
    <n v="0.18181818181818182"/>
    <n v="1.1499999999999999"/>
    <n v="0.43478260869565216"/>
    <x v="2"/>
    <n v="9"/>
  </r>
  <r>
    <x v="9"/>
    <s v="Oct"/>
    <n v="101"/>
    <n v="47"/>
    <n v="22"/>
    <n v="8"/>
    <n v="30660"/>
    <n v="0.46534653465346537"/>
    <n v="0.46808510638297873"/>
    <n v="0.36363636363636365"/>
    <x v="0"/>
    <n v="10"/>
  </r>
  <r>
    <x v="10"/>
    <s v="Nov"/>
    <n v="110"/>
    <n v="15"/>
    <n v="19"/>
    <n v="6"/>
    <n v="59601"/>
    <n v="0.13636363636363635"/>
    <n v="1.2666666666666666"/>
    <n v="0.31578947368421051"/>
    <x v="2"/>
    <n v="11"/>
  </r>
  <r>
    <x v="11"/>
    <s v="Dec"/>
    <n v="104"/>
    <n v="46"/>
    <n v="7"/>
    <n v="7"/>
    <n v="43033"/>
    <n v="0.44230769230769229"/>
    <n v="0.15217391304347827"/>
    <n v="1"/>
    <x v="1"/>
    <n v="12"/>
  </r>
  <r>
    <x v="12"/>
    <s v="Jan"/>
    <n v="135"/>
    <n v="29"/>
    <n v="21"/>
    <n v="7"/>
    <n v="39333"/>
    <n v="0.21481481481481482"/>
    <n v="0.72413793103448276"/>
    <n v="0.33333333333333331"/>
    <x v="0"/>
    <n v="1"/>
  </r>
  <r>
    <x v="13"/>
    <s v="Feb"/>
    <n v="105"/>
    <n v="34"/>
    <n v="22"/>
    <n v="14"/>
    <n v="26437"/>
    <n v="0.32380952380952382"/>
    <n v="0.6470588235294118"/>
    <n v="0.63636363636363635"/>
    <x v="0"/>
    <n v="2"/>
  </r>
  <r>
    <x v="14"/>
    <s v="Mar"/>
    <n v="153"/>
    <n v="33"/>
    <n v="11"/>
    <n v="12"/>
    <n v="40039"/>
    <n v="0.21568627450980393"/>
    <n v="0.33333333333333331"/>
    <n v="1.0909090909090908"/>
    <x v="0"/>
    <n v="3"/>
  </r>
  <r>
    <x v="15"/>
    <s v="Apr"/>
    <n v="72"/>
    <n v="22"/>
    <n v="7"/>
    <n v="4"/>
    <n v="17991"/>
    <n v="0.30555555555555558"/>
    <n v="0.31818181818181818"/>
    <n v="0.5714285714285714"/>
    <x v="0"/>
    <n v="4"/>
  </r>
  <r>
    <x v="16"/>
    <s v="May"/>
    <n v="144"/>
    <n v="12"/>
    <n v="14"/>
    <n v="1"/>
    <n v="16438"/>
    <n v="8.3333333333333329E-2"/>
    <n v="1.1666666666666667"/>
    <n v="7.1428571428571425E-2"/>
    <x v="2"/>
    <n v="5"/>
  </r>
  <r>
    <x v="17"/>
    <s v="Jun"/>
    <n v="104"/>
    <n v="15"/>
    <n v="17"/>
    <n v="15"/>
    <n v="44767"/>
    <n v="0.14423076923076922"/>
    <n v="1.1333333333333333"/>
    <n v="0.88235294117647056"/>
    <x v="2"/>
    <n v="6"/>
  </r>
  <r>
    <x v="18"/>
    <s v="Jul"/>
    <n v="127"/>
    <n v="39"/>
    <n v="7"/>
    <n v="10"/>
    <n v="8874"/>
    <n v="0.30708661417322836"/>
    <n v="0.17948717948717949"/>
    <n v="1.4285714285714286"/>
    <x v="1"/>
    <n v="7"/>
  </r>
  <r>
    <x v="19"/>
    <s v="Aug"/>
    <n v="101"/>
    <n v="46"/>
    <n v="19"/>
    <n v="13"/>
    <n v="39798"/>
    <n v="0.45544554455445546"/>
    <n v="0.41304347826086957"/>
    <n v="0.68421052631578949"/>
    <x v="0"/>
    <n v="8"/>
  </r>
  <r>
    <x v="20"/>
    <s v="Sep"/>
    <n v="71"/>
    <n v="9"/>
    <n v="4"/>
    <n v="6"/>
    <n v="26665"/>
    <n v="0.12676056338028169"/>
    <n v="0.44444444444444442"/>
    <n v="1.5"/>
    <x v="2"/>
    <n v="9"/>
  </r>
  <r>
    <x v="21"/>
    <s v="Oct"/>
    <n v="115"/>
    <n v="25"/>
    <n v="4"/>
    <n v="6"/>
    <n v="13145"/>
    <n v="0.21739130434782608"/>
    <n v="0.16"/>
    <n v="1.5"/>
    <x v="1"/>
    <n v="10"/>
  </r>
  <r>
    <x v="22"/>
    <s v="Nov"/>
    <n v="144"/>
    <n v="10"/>
    <n v="16"/>
    <n v="1"/>
    <n v="51321"/>
    <n v="6.9444444444444448E-2"/>
    <n v="1.6"/>
    <n v="6.25E-2"/>
    <x v="2"/>
    <n v="11"/>
  </r>
  <r>
    <x v="23"/>
    <s v="Dec"/>
    <n v="126"/>
    <n v="10"/>
    <n v="25"/>
    <n v="5"/>
    <n v="23534"/>
    <n v="7.9365079365079361E-2"/>
    <n v="2.5"/>
    <n v="0.2"/>
    <x v="2"/>
    <n v="12"/>
  </r>
  <r>
    <x v="24"/>
    <s v="Jan"/>
    <n v="84"/>
    <n v="18"/>
    <n v="15"/>
    <n v="11"/>
    <n v="21759"/>
    <n v="0.21428571428571427"/>
    <n v="0.83333333333333337"/>
    <n v="0.73333333333333328"/>
    <x v="0"/>
    <n v="1"/>
  </r>
  <r>
    <x v="25"/>
    <s v="Feb"/>
    <n v="95"/>
    <n v="34"/>
    <n v="8"/>
    <n v="8"/>
    <n v="54720"/>
    <n v="0.35789473684210527"/>
    <n v="0.23529411764705882"/>
    <n v="1"/>
    <x v="1"/>
    <n v="2"/>
  </r>
  <r>
    <x v="26"/>
    <s v="Mar"/>
    <n v="93"/>
    <n v="49"/>
    <n v="17"/>
    <n v="13"/>
    <n v="47701"/>
    <n v="0.5268817204301075"/>
    <n v="0.34693877551020408"/>
    <n v="0.76470588235294112"/>
    <x v="0"/>
    <n v="3"/>
  </r>
  <r>
    <x v="27"/>
    <s v="Apr"/>
    <n v="96"/>
    <n v="32"/>
    <n v="11"/>
    <n v="8"/>
    <n v="42280"/>
    <n v="0.33333333333333331"/>
    <n v="0.34375"/>
    <n v="0.72727272727272729"/>
    <x v="0"/>
    <n v="4"/>
  </r>
  <r>
    <x v="28"/>
    <s v="May"/>
    <n v="74"/>
    <n v="18"/>
    <n v="25"/>
    <n v="4"/>
    <n v="22574"/>
    <n v="0.24324324324324326"/>
    <n v="1.3888888888888888"/>
    <n v="0.16"/>
    <x v="3"/>
    <n v="5"/>
  </r>
  <r>
    <x v="29"/>
    <s v="Jun"/>
    <n v="98"/>
    <n v="38"/>
    <n v="25"/>
    <n v="5"/>
    <n v="15815"/>
    <n v="0.38775510204081631"/>
    <n v="0.65789473684210531"/>
    <n v="0.2"/>
    <x v="3"/>
    <n v="6"/>
  </r>
  <r>
    <x v="0"/>
    <s v="Jul"/>
    <n v="74"/>
    <n v="25"/>
    <n v="14"/>
    <n v="5"/>
    <n v="39928"/>
    <n v="0.33783783783783783"/>
    <n v="0.56000000000000005"/>
    <n v="0.35714285714285715"/>
    <x v="0"/>
    <n v="7"/>
  </r>
  <r>
    <x v="1"/>
    <s v="Aug"/>
    <n v="89"/>
    <n v="24"/>
    <n v="22"/>
    <n v="12"/>
    <n v="19491"/>
    <n v="0.2696629213483146"/>
    <n v="0.91666666666666663"/>
    <n v="0.54545454545454541"/>
    <x v="0"/>
    <n v="8"/>
  </r>
  <r>
    <x v="2"/>
    <s v="Sep"/>
    <n v="134"/>
    <n v="38"/>
    <n v="15"/>
    <n v="4"/>
    <n v="13816"/>
    <n v="0.28358208955223879"/>
    <n v="0.39473684210526316"/>
    <n v="0.26666666666666666"/>
    <x v="3"/>
    <n v="9"/>
  </r>
  <r>
    <x v="3"/>
    <s v="Oct"/>
    <n v="158"/>
    <n v="21"/>
    <n v="5"/>
    <n v="4"/>
    <n v="16475"/>
    <n v="0.13291139240506328"/>
    <n v="0.23809523809523808"/>
    <n v="0.8"/>
    <x v="2"/>
    <n v="10"/>
  </r>
  <r>
    <x v="4"/>
    <s v="Nov"/>
    <n v="144"/>
    <n v="44"/>
    <n v="13"/>
    <n v="10"/>
    <n v="45536"/>
    <n v="0.30555555555555558"/>
    <n v="0.29545454545454547"/>
    <n v="0.76923076923076927"/>
    <x v="1"/>
    <n v="11"/>
  </r>
  <r>
    <x v="5"/>
    <s v="Dec"/>
    <n v="116"/>
    <n v="50"/>
    <n v="24"/>
    <n v="3"/>
    <n v="50948"/>
    <n v="0.43103448275862066"/>
    <n v="0.48"/>
    <n v="0.125"/>
    <x v="3"/>
    <n v="12"/>
  </r>
  <r>
    <x v="6"/>
    <s v="Jan"/>
    <n v="79"/>
    <n v="30"/>
    <n v="21"/>
    <n v="13"/>
    <n v="35102"/>
    <n v="0.379746835443038"/>
    <n v="0.7"/>
    <n v="0.61904761904761907"/>
    <x v="0"/>
    <n v="1"/>
  </r>
  <r>
    <x v="7"/>
    <s v="Feb"/>
    <n v="98"/>
    <n v="47"/>
    <n v="9"/>
    <n v="5"/>
    <n v="8247"/>
    <n v="0.47959183673469385"/>
    <n v="0.19148936170212766"/>
    <n v="0.55555555555555558"/>
    <x v="1"/>
    <n v="2"/>
  </r>
  <r>
    <x v="8"/>
    <s v="Mar"/>
    <n v="106"/>
    <n v="30"/>
    <n v="7"/>
    <n v="13"/>
    <n v="12731"/>
    <n v="0.28301886792452829"/>
    <n v="0.23333333333333334"/>
    <n v="1.8571428571428572"/>
    <x v="1"/>
    <n v="3"/>
  </r>
  <r>
    <x v="9"/>
    <s v="Apr"/>
    <n v="154"/>
    <n v="42"/>
    <n v="2"/>
    <n v="8"/>
    <n v="33454"/>
    <n v="0.27272727272727271"/>
    <n v="4.7619047619047616E-2"/>
    <n v="4"/>
    <x v="1"/>
    <n v="4"/>
  </r>
  <r>
    <x v="10"/>
    <s v="May"/>
    <n v="96"/>
    <n v="16"/>
    <n v="7"/>
    <n v="12"/>
    <n v="27137"/>
    <n v="0.16666666666666666"/>
    <n v="0.4375"/>
    <n v="1.7142857142857142"/>
    <x v="2"/>
    <n v="5"/>
  </r>
  <r>
    <x v="11"/>
    <s v="Jun"/>
    <n v="141"/>
    <n v="16"/>
    <n v="14"/>
    <n v="5"/>
    <n v="19465"/>
    <n v="0.11347517730496454"/>
    <n v="0.875"/>
    <n v="0.35714285714285715"/>
    <x v="2"/>
    <n v="6"/>
  </r>
  <r>
    <x v="12"/>
    <s v="Jul"/>
    <n v="94"/>
    <n v="6"/>
    <n v="25"/>
    <n v="7"/>
    <n v="38625"/>
    <n v="6.3829787234042548E-2"/>
    <n v="4.166666666666667"/>
    <n v="0.28000000000000003"/>
    <x v="2"/>
    <n v="7"/>
  </r>
  <r>
    <x v="13"/>
    <s v="Aug"/>
    <n v="133"/>
    <n v="13"/>
    <n v="21"/>
    <n v="3"/>
    <n v="56230"/>
    <n v="9.7744360902255634E-2"/>
    <n v="1.6153846153846154"/>
    <n v="0.14285714285714285"/>
    <x v="2"/>
    <n v="8"/>
  </r>
  <r>
    <x v="14"/>
    <s v="Sep"/>
    <n v="100"/>
    <n v="13"/>
    <n v="2"/>
    <n v="1"/>
    <n v="54151"/>
    <n v="0.13"/>
    <n v="0.15384615384615385"/>
    <n v="0.5"/>
    <x v="2"/>
    <n v="9"/>
  </r>
  <r>
    <x v="15"/>
    <s v="Oct"/>
    <n v="118"/>
    <n v="21"/>
    <n v="23"/>
    <n v="14"/>
    <n v="45409"/>
    <n v="0.17796610169491525"/>
    <n v="1.0952380952380953"/>
    <n v="0.60869565217391308"/>
    <x v="2"/>
    <n v="10"/>
  </r>
  <r>
    <x v="16"/>
    <s v="Nov"/>
    <n v="133"/>
    <n v="40"/>
    <n v="4"/>
    <n v="4"/>
    <n v="17863"/>
    <n v="0.3007518796992481"/>
    <n v="0.1"/>
    <n v="1"/>
    <x v="1"/>
    <n v="11"/>
  </r>
  <r>
    <x v="17"/>
    <s v="Dec"/>
    <n v="83"/>
    <n v="36"/>
    <n v="14"/>
    <n v="7"/>
    <n v="32069"/>
    <n v="0.43373493975903615"/>
    <n v="0.3888888888888889"/>
    <n v="0.5"/>
    <x v="0"/>
    <n v="12"/>
  </r>
  <r>
    <x v="18"/>
    <s v="Jan"/>
    <n v="123"/>
    <n v="21"/>
    <n v="21"/>
    <n v="2"/>
    <n v="59557"/>
    <n v="0.17073170731707318"/>
    <n v="1"/>
    <n v="9.5238095238095233E-2"/>
    <x v="2"/>
    <n v="1"/>
  </r>
  <r>
    <x v="19"/>
    <s v="Feb"/>
    <n v="148"/>
    <n v="34"/>
    <n v="11"/>
    <n v="10"/>
    <n v="31867"/>
    <n v="0.22972972972972974"/>
    <n v="0.3235294117647059"/>
    <n v="0.90909090909090906"/>
    <x v="0"/>
    <n v="2"/>
  </r>
  <r>
    <x v="20"/>
    <s v="Mar"/>
    <n v="86"/>
    <n v="35"/>
    <n v="14"/>
    <n v="1"/>
    <n v="42948"/>
    <n v="0.40697674418604651"/>
    <n v="0.4"/>
    <n v="7.1428571428571425E-2"/>
    <x v="3"/>
    <n v="3"/>
  </r>
  <r>
    <x v="21"/>
    <s v="Apr"/>
    <n v="103"/>
    <n v="31"/>
    <n v="4"/>
    <n v="15"/>
    <n v="44097"/>
    <n v="0.30097087378640774"/>
    <n v="0.12903225806451613"/>
    <n v="3.75"/>
    <x v="1"/>
    <n v="4"/>
  </r>
  <r>
    <x v="22"/>
    <s v="May"/>
    <n v="92"/>
    <n v="23"/>
    <n v="16"/>
    <n v="7"/>
    <n v="8922"/>
    <n v="0.25"/>
    <n v="0.69565217391304346"/>
    <n v="0.4375"/>
    <x v="0"/>
    <n v="5"/>
  </r>
  <r>
    <x v="23"/>
    <s v="Jun"/>
    <n v="141"/>
    <n v="18"/>
    <n v="9"/>
    <n v="11"/>
    <n v="25802"/>
    <n v="0.1276595744680851"/>
    <n v="0.5"/>
    <n v="1.2222222222222223"/>
    <x v="2"/>
    <n v="6"/>
  </r>
  <r>
    <x v="24"/>
    <s v="Jul"/>
    <n v="131"/>
    <n v="19"/>
    <n v="6"/>
    <n v="11"/>
    <n v="42770"/>
    <n v="0.14503816793893129"/>
    <n v="0.31578947368421051"/>
    <n v="1.8333333333333333"/>
    <x v="2"/>
    <n v="7"/>
  </r>
  <r>
    <x v="25"/>
    <s v="Aug"/>
    <n v="111"/>
    <n v="35"/>
    <n v="20"/>
    <n v="12"/>
    <n v="57900"/>
    <n v="0.31531531531531531"/>
    <n v="0.5714285714285714"/>
    <n v="0.6"/>
    <x v="0"/>
    <n v="8"/>
  </r>
  <r>
    <x v="26"/>
    <s v="Sep"/>
    <n v="112"/>
    <n v="48"/>
    <n v="8"/>
    <n v="5"/>
    <n v="10630"/>
    <n v="0.42857142857142855"/>
    <n v="0.16666666666666666"/>
    <n v="0.625"/>
    <x v="1"/>
    <n v="9"/>
  </r>
  <r>
    <x v="27"/>
    <s v="Oct"/>
    <n v="94"/>
    <n v="15"/>
    <n v="23"/>
    <n v="12"/>
    <n v="8955"/>
    <n v="0.15957446808510639"/>
    <n v="1.5333333333333334"/>
    <n v="0.52173913043478259"/>
    <x v="2"/>
    <n v="10"/>
  </r>
  <r>
    <x v="28"/>
    <s v="Nov"/>
    <n v="158"/>
    <n v="7"/>
    <n v="6"/>
    <n v="13"/>
    <n v="23420"/>
    <n v="4.4303797468354431E-2"/>
    <n v="0.8571428571428571"/>
    <n v="2.1666666666666665"/>
    <x v="2"/>
    <n v="11"/>
  </r>
  <r>
    <x v="29"/>
    <s v="Dec"/>
    <n v="141"/>
    <n v="41"/>
    <n v="23"/>
    <n v="2"/>
    <n v="51480"/>
    <n v="0.29078014184397161"/>
    <n v="0.56097560975609762"/>
    <n v="8.6956521739130432E-2"/>
    <x v="3"/>
    <n v="12"/>
  </r>
  <r>
    <x v="0"/>
    <s v="Jan"/>
    <n v="70"/>
    <n v="23"/>
    <n v="12"/>
    <n v="11"/>
    <n v="22929"/>
    <n v="0.32857142857142857"/>
    <n v="0.52173913043478259"/>
    <n v="0.91666666666666663"/>
    <x v="0"/>
    <n v="1"/>
  </r>
  <r>
    <x v="1"/>
    <s v="Feb"/>
    <n v="151"/>
    <n v="18"/>
    <n v="4"/>
    <n v="1"/>
    <n v="19557"/>
    <n v="0.11920529801324503"/>
    <n v="0.22222222222222221"/>
    <n v="0.25"/>
    <x v="2"/>
    <n v="2"/>
  </r>
  <r>
    <x v="2"/>
    <s v="Mar"/>
    <n v="93"/>
    <n v="37"/>
    <n v="18"/>
    <n v="3"/>
    <n v="48021"/>
    <n v="0.39784946236559138"/>
    <n v="0.48648648648648651"/>
    <n v="0.16666666666666666"/>
    <x v="3"/>
    <n v="3"/>
  </r>
  <r>
    <x v="3"/>
    <s v="Apr"/>
    <n v="122"/>
    <n v="50"/>
    <n v="20"/>
    <n v="10"/>
    <n v="10454"/>
    <n v="0.4098360655737705"/>
    <n v="0.4"/>
    <n v="0.5"/>
    <x v="0"/>
    <n v="4"/>
  </r>
  <r>
    <x v="4"/>
    <s v="May"/>
    <n v="120"/>
    <n v="38"/>
    <n v="9"/>
    <n v="13"/>
    <n v="36550"/>
    <n v="0.31666666666666665"/>
    <n v="0.23684210526315788"/>
    <n v="1.4444444444444444"/>
    <x v="1"/>
    <n v="5"/>
  </r>
  <r>
    <x v="5"/>
    <s v="Jun"/>
    <n v="98"/>
    <n v="33"/>
    <n v="23"/>
    <n v="14"/>
    <n v="11927"/>
    <n v="0.33673469387755101"/>
    <n v="0.69696969696969702"/>
    <n v="0.60869565217391308"/>
    <x v="0"/>
    <n v="6"/>
  </r>
  <r>
    <x v="6"/>
    <s v="Jul"/>
    <n v="109"/>
    <n v="35"/>
    <n v="24"/>
    <n v="11"/>
    <n v="49300"/>
    <n v="0.32110091743119268"/>
    <n v="0.68571428571428572"/>
    <n v="0.45833333333333331"/>
    <x v="0"/>
    <n v="7"/>
  </r>
  <r>
    <x v="7"/>
    <s v="Aug"/>
    <n v="116"/>
    <n v="8"/>
    <n v="24"/>
    <n v="13"/>
    <n v="25517"/>
    <n v="6.8965517241379309E-2"/>
    <n v="3"/>
    <n v="0.54166666666666663"/>
    <x v="2"/>
    <n v="8"/>
  </r>
  <r>
    <x v="8"/>
    <s v="Sep"/>
    <n v="86"/>
    <n v="40"/>
    <n v="15"/>
    <n v="3"/>
    <n v="23645"/>
    <n v="0.46511627906976744"/>
    <n v="0.375"/>
    <n v="0.2"/>
    <x v="3"/>
    <n v="9"/>
  </r>
  <r>
    <x v="9"/>
    <s v="Oct"/>
    <n v="102"/>
    <n v="7"/>
    <n v="8"/>
    <n v="2"/>
    <n v="48154"/>
    <n v="6.8627450980392163E-2"/>
    <n v="1.1428571428571428"/>
    <n v="0.25"/>
    <x v="2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149BD-1B03-4C37-B5E7-E8D50C874543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3:E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axis="axisRow" dataField="1" showAll="0">
      <items count="5">
        <item x="1"/>
        <item x="2"/>
        <item x="3"/>
        <item x="0"/>
        <item t="default"/>
      </items>
    </pivotField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oblem" fld="1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6E250-880F-406F-9810-AD95138956A1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0" firstHeaderRow="1" firstDataRow="1" firstDataCol="1"/>
  <pivotFields count="12">
    <pivotField axis="axisRow" showAll="0">
      <items count="1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axis="axisRow" dataField="1" showAll="0">
      <items count="5">
        <item x="1"/>
        <item x="2"/>
        <item x="3"/>
        <item x="0"/>
        <item t="default"/>
      </items>
    </pivotField>
    <pivotField showAll="0"/>
  </pivotFields>
  <rowFields count="2">
    <field x="0"/>
    <field x="10"/>
  </rowFields>
  <rowItems count="107">
    <i>
      <x/>
    </i>
    <i r="1">
      <x/>
    </i>
    <i r="1">
      <x v="3"/>
    </i>
    <i>
      <x v="1"/>
    </i>
    <i r="1">
      <x/>
    </i>
    <i r="1">
      <x v="1"/>
    </i>
    <i r="1">
      <x v="3"/>
    </i>
    <i>
      <x v="2"/>
    </i>
    <i r="1">
      <x/>
    </i>
    <i r="1">
      <x v="2"/>
    </i>
    <i>
      <x v="3"/>
    </i>
    <i r="1">
      <x v="1"/>
    </i>
    <i r="1">
      <x v="2"/>
    </i>
    <i r="1">
      <x v="3"/>
    </i>
    <i>
      <x v="4"/>
    </i>
    <i r="1">
      <x/>
    </i>
    <i r="1">
      <x v="1"/>
    </i>
    <i r="1">
      <x v="3"/>
    </i>
    <i>
      <x v="5"/>
    </i>
    <i r="1">
      <x v="1"/>
    </i>
    <i r="1">
      <x v="2"/>
    </i>
    <i r="1">
      <x v="3"/>
    </i>
    <i>
      <x v="6"/>
    </i>
    <i r="1">
      <x/>
    </i>
    <i r="1">
      <x v="2"/>
    </i>
    <i r="1">
      <x v="3"/>
    </i>
    <i>
      <x v="7"/>
    </i>
    <i r="1">
      <x/>
    </i>
    <i r="1">
      <x v="1"/>
    </i>
    <i r="1">
      <x v="3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3"/>
    </i>
    <i>
      <x v="10"/>
    </i>
    <i r="1">
      <x v="1"/>
    </i>
    <i>
      <x v="11"/>
    </i>
    <i r="1">
      <x/>
    </i>
    <i r="1">
      <x v="1"/>
    </i>
    <i r="1">
      <x v="3"/>
    </i>
    <i>
      <x v="12"/>
    </i>
    <i r="1">
      <x/>
    </i>
    <i r="1">
      <x v="1"/>
    </i>
    <i r="1">
      <x v="3"/>
    </i>
    <i>
      <x v="13"/>
    </i>
    <i r="1">
      <x/>
    </i>
    <i r="1">
      <x v="1"/>
    </i>
    <i r="1">
      <x v="3"/>
    </i>
    <i>
      <x v="14"/>
    </i>
    <i r="1">
      <x v="1"/>
    </i>
    <i r="1">
      <x v="2"/>
    </i>
    <i r="1">
      <x v="3"/>
    </i>
    <i>
      <x v="15"/>
    </i>
    <i r="1">
      <x/>
    </i>
    <i r="1">
      <x v="1"/>
    </i>
    <i r="1">
      <x v="2"/>
    </i>
    <i r="1">
      <x v="3"/>
    </i>
    <i>
      <x v="16"/>
    </i>
    <i r="1">
      <x/>
    </i>
    <i r="1">
      <x v="1"/>
    </i>
    <i>
      <x v="17"/>
    </i>
    <i r="1">
      <x v="1"/>
    </i>
    <i r="1">
      <x v="3"/>
    </i>
    <i>
      <x v="18"/>
    </i>
    <i r="1">
      <x/>
    </i>
    <i r="1">
      <x v="1"/>
    </i>
    <i r="1">
      <x v="3"/>
    </i>
    <i>
      <x v="19"/>
    </i>
    <i r="1">
      <x/>
    </i>
    <i r="1">
      <x v="3"/>
    </i>
    <i>
      <x v="20"/>
    </i>
    <i r="1">
      <x v="1"/>
    </i>
    <i r="1">
      <x v="2"/>
    </i>
    <i r="1">
      <x v="3"/>
    </i>
    <i>
      <x v="21"/>
    </i>
    <i r="1">
      <x/>
    </i>
    <i r="1">
      <x v="2"/>
    </i>
    <i>
      <x v="22"/>
    </i>
    <i r="1">
      <x/>
    </i>
    <i r="1">
      <x v="1"/>
    </i>
    <i r="1">
      <x v="3"/>
    </i>
    <i>
      <x v="23"/>
    </i>
    <i r="1">
      <x v="1"/>
    </i>
    <i r="1">
      <x v="2"/>
    </i>
    <i>
      <x v="24"/>
    </i>
    <i r="1">
      <x v="1"/>
    </i>
    <i r="1">
      <x v="3"/>
    </i>
    <i>
      <x v="25"/>
    </i>
    <i r="1">
      <x/>
    </i>
    <i r="1">
      <x v="3"/>
    </i>
    <i>
      <x v="26"/>
    </i>
    <i r="1">
      <x/>
    </i>
    <i r="1">
      <x v="3"/>
    </i>
    <i>
      <x v="27"/>
    </i>
    <i r="1">
      <x v="1"/>
    </i>
    <i r="1">
      <x v="3"/>
    </i>
    <i>
      <x v="28"/>
    </i>
    <i r="1">
      <x v="1"/>
    </i>
    <i r="1">
      <x v="2"/>
    </i>
    <i>
      <x v="29"/>
    </i>
    <i r="1">
      <x/>
    </i>
    <i r="1">
      <x v="2"/>
    </i>
    <i t="grand">
      <x/>
    </i>
  </rowItems>
  <colItems count="1">
    <i/>
  </colItems>
  <dataFields count="1">
    <dataField name="Count of Problem" fld="1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A6104-FF33-41DB-A166-52D782DDF8C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3:D64" firstHeaderRow="1" firstDataRow="1" firstDataCol="1"/>
  <pivotFields count="12">
    <pivotField axis="axisRow" showAll="0">
      <items count="1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EF215-541B-4DAC-AA9A-379309F8304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5:H8" firstHeaderRow="1" firstDataRow="1" firstDataCol="1"/>
  <pivotFields count="4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AgentID" fld="0" subtotal="count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71C3C-94E9-465D-A1B0-1AB567BC8EC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G2:H6" firstHeaderRow="1" firstDataRow="1" firstDataCol="1"/>
  <pivotFields count="3">
    <pivotField dataField="1"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gentID" fld="0" subtotal="count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8BFFB5-1101-420E-9B71-0698A7FB3D1A}" name="Table1" displayName="Table1" ref="A1:G131" totalsRowShown="0" headerRowDxfId="28">
  <autoFilter ref="A1:G131" xr:uid="{078BFFB5-1101-420E-9B71-0698A7FB3D1A}"/>
  <tableColumns count="7">
    <tableColumn id="1" xr3:uid="{3084289C-2DE4-42C2-94CB-64AA5453851C}" name="AgentID"/>
    <tableColumn id="2" xr3:uid="{5D723CCB-50BD-41A5-A3FC-D4418E8B39D9}" name="Name"/>
    <tableColumn id="3" xr3:uid="{E55D5E28-E2F5-4C42-A690-8F738465E20B}" name="JoinDate"/>
    <tableColumn id="4" xr3:uid="{69F7CF98-21DF-4275-9E71-614BA436D191}" name="LicenseDate"/>
    <tableColumn id="5" xr3:uid="{3768E90B-C5D0-412E-8FAA-D4AE613B5095}" name="Status"/>
    <tableColumn id="6" xr3:uid="{E70336ED-16FC-43D1-B3FF-169E7168F761}" name="Region"/>
    <tableColumn id="7" xr3:uid="{5A110307-CC83-46AE-A499-F57442FC2E53}" name="Source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64E2CD-0327-4CC0-A3F8-B036F944818A}" name="Table2" displayName="Table2" ref="A1:L131" totalsRowShown="0" headerRowDxfId="27">
  <autoFilter ref="A1:L131" xr:uid="{1964E2CD-0327-4CC0-A3F8-B036F944818A}">
    <filterColumn colId="5">
      <customFilters>
        <customFilter operator="greaterThan" val="0"/>
      </customFilters>
    </filterColumn>
  </autoFilter>
  <tableColumns count="12">
    <tableColumn id="1" xr3:uid="{C27E3581-26E9-4893-9173-6D18899F5181}" name="AgentID"/>
    <tableColumn id="2" xr3:uid="{C980B452-BFE2-4463-8C5B-2D76302BE152}" name="Month"/>
    <tableColumn id="3" xr3:uid="{C479FA82-2C52-4B5A-98C5-0F52ACC2208E}" name="Calls">
      <calculatedColumnFormula>RANDBETWEEN(70,160)</calculatedColumnFormula>
    </tableColumn>
    <tableColumn id="4" xr3:uid="{414AC472-C1EB-437A-A536-72243CB3C1CA}" name="Meetings">
      <calculatedColumnFormula>RANDBETWEEN(5,50)</calculatedColumnFormula>
    </tableColumn>
    <tableColumn id="5" xr3:uid="{A5298698-560C-4A33-8610-DB46DB311E6F}" name="Proposals">
      <calculatedColumnFormula>RANDBETWEEN(2,25)</calculatedColumnFormula>
    </tableColumn>
    <tableColumn id="6" xr3:uid="{EA2DD24B-8E55-47EE-924E-8627653A1F27}" name="Sales">
      <calculatedColumnFormula>RANDBETWEEN(1,15)</calculatedColumnFormula>
    </tableColumn>
    <tableColumn id="7" xr3:uid="{11B14C8F-BC85-4741-9A0D-0DF74959637B}" name="FYP">
      <calculatedColumnFormula>RANDBETWEEN(8000,60000)</calculatedColumnFormula>
    </tableColumn>
    <tableColumn id="8" xr3:uid="{95C7AC65-8450-4DB3-9BB8-EC13933F600A}" name="Meeting Rate" dataDxfId="26" dataCellStyle="Percent">
      <calculatedColumnFormula>Table2[[#This Row],[Meetings]]/Table2[[#This Row],[Calls]]</calculatedColumnFormula>
    </tableColumn>
    <tableColumn id="9" xr3:uid="{ABB64584-7514-46BD-A8FF-B69B90A6651D}" name="Proposal Rate" dataDxfId="25">
      <calculatedColumnFormula>Table2[[#This Row],[Proposals]]/Table2[[#This Row],[Meetings]]</calculatedColumnFormula>
    </tableColumn>
    <tableColumn id="10" xr3:uid="{80B96427-0E5D-4E6A-AF47-3AB505211F0C}" name="Sales Conversion" dataDxfId="24">
      <calculatedColumnFormula>Table2[[#This Row],[Sales]]/Table2[[#This Row],[Proposals]]</calculatedColumnFormula>
    </tableColumn>
    <tableColumn id="11" xr3:uid="{B3356714-909E-4907-8DE2-C3EFA4CAD6B1}" name="Problem" dataDxfId="23">
      <calculatedColumnFormula>IF(Table2[[#This Row],[Meeting Rate]]&lt;0.2,"Poor Communication",IF(Table2[[#This Row],[Proposal Rate]]&lt;0.3,"Poor Closing",IF(Table2[[#This Row],[Sales Conversion]]&lt;0.3,"Poor Pitching","Strong Performer")))</calculatedColumnFormula>
    </tableColumn>
    <tableColumn id="13" xr3:uid="{A1DF6A34-288C-408A-8D00-90A2EBB6DA69}" name="Sales LastMonth" dataDxfId="22">
      <calculatedColumnFormula>MONTH(DATEVALUE("1-" &amp; Table2[[#This Row],[Month]] &amp; "-2024"))</calculatedColumnFormula>
    </tableColumn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27D914-CC38-4BF2-96F6-578B02D30DAE}" name="Table3" displayName="Table3" ref="A1:D131" totalsRowShown="0">
  <autoFilter ref="A1:D131" xr:uid="{6F27D914-CC38-4BF2-96F6-578B02D30DAE}"/>
  <tableColumns count="4">
    <tableColumn id="1" xr3:uid="{52892763-5D4F-47AB-B5EE-3533CAC43CA2}" name="AgentID"/>
    <tableColumn id="2" xr3:uid="{D935CEB2-F8D9-4742-BB72-5ED6A369891B}" name="Meetings LastMonth" dataDxfId="21">
      <calculatedColumnFormula>RANDBETWEEN(2,50)</calculatedColumnFormula>
    </tableColumn>
    <tableColumn id="3" xr3:uid="{251117CA-4C0B-4E43-9051-950C28A73707}" name="Sales LastMonth">
      <calculatedColumnFormula>MONTH(DATEVALUE("1-" &amp; Table2[[#This Row],[Month]] &amp; "-2024"))</calculatedColumnFormula>
    </tableColumn>
    <tableColumn id="4" xr3:uid="{5ADB15DC-71BC-4096-A66D-FA134E896FC0}" name="Risk">
      <calculatedColumnFormula>IF(AND(B2&lt;5,C2=0),"High Risk",IF(B2&lt;10,"Medium Risk","Low Risk"))</calculatedColumn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52C4E9-277C-4237-AEC9-69B6A19BB7C1}" name="Table4" displayName="Table4" ref="A2:C32" totalsRowShown="0">
  <autoFilter ref="A2:C32" xr:uid="{6452C4E9-277C-4237-AEC9-69B6A19BB7C1}"/>
  <tableColumns count="3">
    <tableColumn id="1" xr3:uid="{C1AF63D5-4B62-4EFD-BEB1-11F7160A8291}" name="AgentID" dataDxfId="20"/>
    <tableColumn id="2" xr3:uid="{05969FA2-5627-4C65-A270-BA55DD61C4F0}" name="Total FYP" dataDxfId="19"/>
    <tableColumn id="3" xr3:uid="{C6C2DCFA-2B9C-469A-8D2E-086A0D0E2A1A}" name="Result">
      <calculatedColumnFormula>IF(B3&gt;=$E$3,"star",IF(B3&gt;=$E$2,"average","low"))</calculatedColumnFormula>
    </tableColumn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AF1526-6739-4266-9BF5-F90D7869AAF1}" name="Table5" displayName="Table5" ref="L3:M6" totalsRowShown="0" tableBorderDxfId="18">
  <autoFilter ref="L3:M6" xr:uid="{2DAF1526-6739-4266-9BF5-F90D7869AAF1}">
    <filterColumn colId="0" hiddenButton="1"/>
    <filterColumn colId="1" hiddenButton="1"/>
  </autoFilter>
  <tableColumns count="2">
    <tableColumn id="1" xr3:uid="{30A8BB02-2FB9-4CD4-8F57-13673E0F48B9}" name="Result " dataDxfId="17"/>
    <tableColumn id="2" xr3:uid="{3FAD6583-8A29-4D54-B1F2-D1AB26AB4126}" name="Count" dataDxfId="16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3F02E3-3735-440B-8427-4F5DA68AF86C}" name="Table47" displayName="Table47" ref="E25:G55" totalsRowShown="0">
  <autoFilter ref="E25:G55" xr:uid="{D03F02E3-3735-440B-8427-4F5DA68AF86C}">
    <filterColumn colId="1">
      <top10 val="5" filterVal="189793"/>
    </filterColumn>
  </autoFilter>
  <tableColumns count="3">
    <tableColumn id="1" xr3:uid="{2AE74AD2-2F13-4FDC-A2FD-A8C11AA45B6B}" name="AgentID" dataDxfId="15"/>
    <tableColumn id="2" xr3:uid="{35569F98-4921-45FA-93E2-9FAD1C87D962}" name="Total FYP" dataDxfId="14"/>
    <tableColumn id="3" xr3:uid="{5B4770D3-92C4-45EB-BE59-10B2CFAC6974}" name="Result">
      <calculatedColumnFormula>IF(F26&gt;=$E$3,"star",IF(F26&gt;=$E$2,"average","low"))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2336-F8C2-489A-BF34-D4B79454CFD9}">
  <dimension ref="A1:G131"/>
  <sheetViews>
    <sheetView workbookViewId="0">
      <selection activeCell="F21" sqref="F21"/>
    </sheetView>
  </sheetViews>
  <sheetFormatPr defaultRowHeight="14.5" x14ac:dyDescent="0.35"/>
  <cols>
    <col min="1" max="1" width="9.36328125" customWidth="1"/>
    <col min="2" max="2" width="7.7265625" customWidth="1"/>
    <col min="3" max="3" width="11.36328125" bestFit="1" customWidth="1"/>
    <col min="4" max="4" width="13.1796875" customWidth="1"/>
    <col min="5" max="5" width="8.1796875" customWidth="1"/>
    <col min="6" max="6" width="8.54296875" customWidth="1"/>
    <col min="7" max="7" width="8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5">
      <c r="A4" t="s">
        <v>21</v>
      </c>
      <c r="B4" t="s">
        <v>15</v>
      </c>
      <c r="C4" t="s">
        <v>22</v>
      </c>
      <c r="D4" t="s">
        <v>23</v>
      </c>
      <c r="E4" t="s">
        <v>18</v>
      </c>
      <c r="F4" t="s">
        <v>19</v>
      </c>
      <c r="G4" t="s">
        <v>13</v>
      </c>
    </row>
    <row r="5" spans="1:7" x14ac:dyDescent="0.35">
      <c r="A5" t="s">
        <v>24</v>
      </c>
      <c r="B5" t="s">
        <v>25</v>
      </c>
      <c r="C5" t="s">
        <v>26</v>
      </c>
      <c r="D5" t="s">
        <v>27</v>
      </c>
      <c r="E5" t="s">
        <v>11</v>
      </c>
      <c r="F5" t="s">
        <v>19</v>
      </c>
      <c r="G5" t="s">
        <v>13</v>
      </c>
    </row>
    <row r="6" spans="1:7" x14ac:dyDescent="0.35">
      <c r="A6" t="s">
        <v>28</v>
      </c>
      <c r="B6" t="s">
        <v>29</v>
      </c>
      <c r="C6" t="s">
        <v>30</v>
      </c>
      <c r="D6" t="s">
        <v>31</v>
      </c>
      <c r="E6" t="s">
        <v>11</v>
      </c>
      <c r="F6" t="s">
        <v>32</v>
      </c>
      <c r="G6" t="s">
        <v>20</v>
      </c>
    </row>
    <row r="7" spans="1:7" x14ac:dyDescent="0.35">
      <c r="A7" t="s">
        <v>33</v>
      </c>
      <c r="B7" t="s">
        <v>34</v>
      </c>
      <c r="C7" t="s">
        <v>35</v>
      </c>
      <c r="D7" t="s">
        <v>36</v>
      </c>
      <c r="E7" t="s">
        <v>18</v>
      </c>
      <c r="F7" t="s">
        <v>19</v>
      </c>
      <c r="G7" t="s">
        <v>37</v>
      </c>
    </row>
    <row r="8" spans="1:7" x14ac:dyDescent="0.35">
      <c r="A8" t="s">
        <v>38</v>
      </c>
      <c r="B8" t="s">
        <v>39</v>
      </c>
      <c r="C8" t="s">
        <v>40</v>
      </c>
      <c r="D8" t="s">
        <v>41</v>
      </c>
      <c r="E8" t="s">
        <v>18</v>
      </c>
      <c r="F8" t="s">
        <v>12</v>
      </c>
      <c r="G8" t="s">
        <v>37</v>
      </c>
    </row>
    <row r="9" spans="1:7" x14ac:dyDescent="0.35">
      <c r="A9" t="s">
        <v>42</v>
      </c>
      <c r="B9" t="s">
        <v>29</v>
      </c>
      <c r="C9" t="s">
        <v>43</v>
      </c>
      <c r="D9" t="s">
        <v>44</v>
      </c>
      <c r="E9" t="s">
        <v>11</v>
      </c>
      <c r="F9" t="s">
        <v>12</v>
      </c>
      <c r="G9" t="s">
        <v>20</v>
      </c>
    </row>
    <row r="10" spans="1:7" x14ac:dyDescent="0.35">
      <c r="A10" t="s">
        <v>45</v>
      </c>
      <c r="B10" t="s">
        <v>46</v>
      </c>
      <c r="C10" t="s">
        <v>47</v>
      </c>
      <c r="D10" t="s">
        <v>48</v>
      </c>
      <c r="E10" t="s">
        <v>18</v>
      </c>
      <c r="F10" t="s">
        <v>19</v>
      </c>
      <c r="G10" t="s">
        <v>20</v>
      </c>
    </row>
    <row r="11" spans="1:7" x14ac:dyDescent="0.35">
      <c r="A11" t="s">
        <v>49</v>
      </c>
      <c r="B11" t="s">
        <v>50</v>
      </c>
      <c r="C11" t="s">
        <v>10</v>
      </c>
      <c r="D11" t="s">
        <v>51</v>
      </c>
      <c r="E11" t="s">
        <v>11</v>
      </c>
      <c r="F11" t="s">
        <v>19</v>
      </c>
      <c r="G11" t="s">
        <v>20</v>
      </c>
    </row>
    <row r="12" spans="1:7" x14ac:dyDescent="0.35">
      <c r="A12" t="s">
        <v>52</v>
      </c>
      <c r="B12" t="s">
        <v>25</v>
      </c>
      <c r="C12" t="s">
        <v>17</v>
      </c>
      <c r="D12" t="s">
        <v>53</v>
      </c>
      <c r="E12" t="s">
        <v>18</v>
      </c>
      <c r="F12" t="s">
        <v>19</v>
      </c>
      <c r="G12" t="s">
        <v>13</v>
      </c>
    </row>
    <row r="13" spans="1:7" x14ac:dyDescent="0.35">
      <c r="A13" t="s">
        <v>54</v>
      </c>
      <c r="B13" t="s">
        <v>55</v>
      </c>
      <c r="C13" t="s">
        <v>23</v>
      </c>
      <c r="D13" t="s">
        <v>56</v>
      </c>
      <c r="E13" t="s">
        <v>11</v>
      </c>
      <c r="F13" t="s">
        <v>19</v>
      </c>
      <c r="G13" t="s">
        <v>37</v>
      </c>
    </row>
    <row r="14" spans="1:7" x14ac:dyDescent="0.35">
      <c r="A14" t="s">
        <v>57</v>
      </c>
      <c r="B14" t="s">
        <v>58</v>
      </c>
      <c r="C14" t="s">
        <v>27</v>
      </c>
      <c r="D14" t="s">
        <v>59</v>
      </c>
      <c r="E14" t="s">
        <v>11</v>
      </c>
      <c r="F14" t="s">
        <v>19</v>
      </c>
      <c r="G14" t="s">
        <v>37</v>
      </c>
    </row>
    <row r="15" spans="1:7" x14ac:dyDescent="0.35">
      <c r="A15" t="s">
        <v>60</v>
      </c>
      <c r="B15" t="s">
        <v>61</v>
      </c>
      <c r="C15" t="s">
        <v>31</v>
      </c>
      <c r="D15" t="s">
        <v>62</v>
      </c>
      <c r="E15" t="s">
        <v>18</v>
      </c>
      <c r="F15" t="s">
        <v>63</v>
      </c>
      <c r="G15" t="s">
        <v>13</v>
      </c>
    </row>
    <row r="16" spans="1:7" x14ac:dyDescent="0.35">
      <c r="A16" t="s">
        <v>64</v>
      </c>
      <c r="B16" t="s">
        <v>65</v>
      </c>
      <c r="C16" t="s">
        <v>36</v>
      </c>
      <c r="D16" t="s">
        <v>66</v>
      </c>
      <c r="E16" t="s">
        <v>11</v>
      </c>
      <c r="F16" t="s">
        <v>32</v>
      </c>
      <c r="G16" t="s">
        <v>13</v>
      </c>
    </row>
    <row r="17" spans="1:7" x14ac:dyDescent="0.35">
      <c r="A17" t="s">
        <v>67</v>
      </c>
      <c r="B17" t="s">
        <v>68</v>
      </c>
      <c r="C17" t="s">
        <v>41</v>
      </c>
      <c r="D17" t="s">
        <v>69</v>
      </c>
      <c r="E17" t="s">
        <v>18</v>
      </c>
      <c r="F17" t="s">
        <v>63</v>
      </c>
      <c r="G17" t="s">
        <v>20</v>
      </c>
    </row>
    <row r="18" spans="1:7" x14ac:dyDescent="0.35">
      <c r="A18" t="s">
        <v>70</v>
      </c>
      <c r="B18" t="s">
        <v>71</v>
      </c>
      <c r="C18" t="s">
        <v>44</v>
      </c>
      <c r="D18" t="s">
        <v>72</v>
      </c>
      <c r="E18" t="s">
        <v>18</v>
      </c>
      <c r="F18" t="s">
        <v>19</v>
      </c>
      <c r="G18" t="s">
        <v>13</v>
      </c>
    </row>
    <row r="19" spans="1:7" x14ac:dyDescent="0.35">
      <c r="A19" t="s">
        <v>73</v>
      </c>
      <c r="B19" t="s">
        <v>74</v>
      </c>
      <c r="C19" t="s">
        <v>48</v>
      </c>
      <c r="D19" t="s">
        <v>75</v>
      </c>
      <c r="E19" t="s">
        <v>18</v>
      </c>
      <c r="F19" t="s">
        <v>12</v>
      </c>
      <c r="G19" t="s">
        <v>13</v>
      </c>
    </row>
    <row r="20" spans="1:7" x14ac:dyDescent="0.35">
      <c r="A20" t="s">
        <v>76</v>
      </c>
      <c r="B20" t="s">
        <v>77</v>
      </c>
      <c r="C20" t="s">
        <v>51</v>
      </c>
      <c r="D20" t="s">
        <v>78</v>
      </c>
      <c r="E20" t="s">
        <v>11</v>
      </c>
      <c r="F20" t="s">
        <v>32</v>
      </c>
      <c r="G20" t="s">
        <v>13</v>
      </c>
    </row>
    <row r="21" spans="1:7" x14ac:dyDescent="0.35">
      <c r="A21" t="s">
        <v>79</v>
      </c>
      <c r="B21" t="s">
        <v>39</v>
      </c>
      <c r="C21" t="s">
        <v>53</v>
      </c>
      <c r="D21" t="s">
        <v>80</v>
      </c>
      <c r="E21" t="s">
        <v>18</v>
      </c>
      <c r="F21" t="s">
        <v>63</v>
      </c>
      <c r="G21" t="s">
        <v>37</v>
      </c>
    </row>
    <row r="22" spans="1:7" x14ac:dyDescent="0.35">
      <c r="A22" t="s">
        <v>81</v>
      </c>
      <c r="B22" t="s">
        <v>82</v>
      </c>
      <c r="C22" t="s">
        <v>56</v>
      </c>
      <c r="D22" t="s">
        <v>83</v>
      </c>
      <c r="E22" t="s">
        <v>18</v>
      </c>
      <c r="F22" t="s">
        <v>12</v>
      </c>
      <c r="G22" t="s">
        <v>13</v>
      </c>
    </row>
    <row r="23" spans="1:7" x14ac:dyDescent="0.35">
      <c r="A23" t="s">
        <v>84</v>
      </c>
      <c r="B23" t="s">
        <v>65</v>
      </c>
      <c r="C23" t="s">
        <v>59</v>
      </c>
      <c r="D23" t="s">
        <v>85</v>
      </c>
      <c r="E23" t="s">
        <v>18</v>
      </c>
      <c r="F23" t="s">
        <v>19</v>
      </c>
      <c r="G23" t="s">
        <v>20</v>
      </c>
    </row>
    <row r="24" spans="1:7" x14ac:dyDescent="0.35">
      <c r="A24" t="s">
        <v>86</v>
      </c>
      <c r="B24" t="s">
        <v>61</v>
      </c>
      <c r="C24" t="s">
        <v>62</v>
      </c>
      <c r="D24" t="s">
        <v>87</v>
      </c>
      <c r="E24" t="s">
        <v>11</v>
      </c>
      <c r="F24" t="s">
        <v>12</v>
      </c>
      <c r="G24" t="s">
        <v>20</v>
      </c>
    </row>
    <row r="25" spans="1:7" x14ac:dyDescent="0.35">
      <c r="A25" t="s">
        <v>88</v>
      </c>
      <c r="B25" t="s">
        <v>34</v>
      </c>
      <c r="C25" t="s">
        <v>66</v>
      </c>
      <c r="D25" t="s">
        <v>89</v>
      </c>
      <c r="E25" t="s">
        <v>11</v>
      </c>
      <c r="F25" t="s">
        <v>19</v>
      </c>
      <c r="G25" t="s">
        <v>37</v>
      </c>
    </row>
    <row r="26" spans="1:7" x14ac:dyDescent="0.35">
      <c r="A26" t="s">
        <v>90</v>
      </c>
      <c r="B26" t="s">
        <v>74</v>
      </c>
      <c r="C26" t="s">
        <v>69</v>
      </c>
      <c r="D26" t="s">
        <v>91</v>
      </c>
      <c r="E26" t="s">
        <v>11</v>
      </c>
      <c r="F26" t="s">
        <v>12</v>
      </c>
      <c r="G26" t="s">
        <v>13</v>
      </c>
    </row>
    <row r="27" spans="1:7" x14ac:dyDescent="0.35">
      <c r="A27" t="s">
        <v>92</v>
      </c>
      <c r="B27" t="s">
        <v>71</v>
      </c>
      <c r="C27" t="s">
        <v>72</v>
      </c>
      <c r="D27" t="s">
        <v>93</v>
      </c>
      <c r="E27" t="s">
        <v>18</v>
      </c>
      <c r="F27" t="s">
        <v>12</v>
      </c>
      <c r="G27" t="s">
        <v>13</v>
      </c>
    </row>
    <row r="28" spans="1:7" x14ac:dyDescent="0.35">
      <c r="A28" t="s">
        <v>94</v>
      </c>
      <c r="B28" t="s">
        <v>25</v>
      </c>
      <c r="C28" t="s">
        <v>75</v>
      </c>
      <c r="D28" t="s">
        <v>95</v>
      </c>
      <c r="E28" t="s">
        <v>11</v>
      </c>
      <c r="F28" t="s">
        <v>12</v>
      </c>
      <c r="G28" t="s">
        <v>20</v>
      </c>
    </row>
    <row r="29" spans="1:7" x14ac:dyDescent="0.35">
      <c r="A29" t="s">
        <v>96</v>
      </c>
      <c r="B29" t="s">
        <v>15</v>
      </c>
      <c r="C29" t="s">
        <v>78</v>
      </c>
      <c r="D29" t="s">
        <v>97</v>
      </c>
      <c r="E29" t="s">
        <v>11</v>
      </c>
      <c r="F29" t="s">
        <v>19</v>
      </c>
      <c r="G29" t="s">
        <v>37</v>
      </c>
    </row>
    <row r="30" spans="1:7" x14ac:dyDescent="0.35">
      <c r="A30" t="s">
        <v>98</v>
      </c>
      <c r="B30" t="s">
        <v>65</v>
      </c>
      <c r="C30" t="s">
        <v>80</v>
      </c>
      <c r="D30" t="s">
        <v>99</v>
      </c>
      <c r="E30" t="s">
        <v>18</v>
      </c>
      <c r="F30" t="s">
        <v>63</v>
      </c>
      <c r="G30" t="s">
        <v>13</v>
      </c>
    </row>
    <row r="31" spans="1:7" x14ac:dyDescent="0.35">
      <c r="A31" t="s">
        <v>100</v>
      </c>
      <c r="B31" t="s">
        <v>101</v>
      </c>
      <c r="C31" t="s">
        <v>83</v>
      </c>
      <c r="D31" t="s">
        <v>102</v>
      </c>
      <c r="E31" t="s">
        <v>11</v>
      </c>
      <c r="F31" t="s">
        <v>12</v>
      </c>
      <c r="G31" t="s">
        <v>20</v>
      </c>
    </row>
    <row r="32" spans="1:7" x14ac:dyDescent="0.35">
      <c r="A32" t="s">
        <v>103</v>
      </c>
      <c r="B32" t="s">
        <v>50</v>
      </c>
      <c r="C32" t="s">
        <v>85</v>
      </c>
      <c r="D32" t="s">
        <v>104</v>
      </c>
      <c r="E32" t="s">
        <v>18</v>
      </c>
      <c r="F32" t="s">
        <v>32</v>
      </c>
      <c r="G32" t="s">
        <v>13</v>
      </c>
    </row>
    <row r="33" spans="1:7" x14ac:dyDescent="0.35">
      <c r="A33" t="s">
        <v>105</v>
      </c>
      <c r="B33" t="s">
        <v>25</v>
      </c>
      <c r="C33" t="s">
        <v>87</v>
      </c>
      <c r="D33" t="s">
        <v>106</v>
      </c>
      <c r="E33" t="s">
        <v>11</v>
      </c>
      <c r="F33" t="s">
        <v>63</v>
      </c>
      <c r="G33" t="s">
        <v>13</v>
      </c>
    </row>
    <row r="34" spans="1:7" x14ac:dyDescent="0.35">
      <c r="A34" t="s">
        <v>107</v>
      </c>
      <c r="B34" t="s">
        <v>50</v>
      </c>
      <c r="C34" t="s">
        <v>89</v>
      </c>
      <c r="D34" t="s">
        <v>108</v>
      </c>
      <c r="E34" t="s">
        <v>18</v>
      </c>
      <c r="F34" t="s">
        <v>32</v>
      </c>
      <c r="G34" t="s">
        <v>20</v>
      </c>
    </row>
    <row r="35" spans="1:7" x14ac:dyDescent="0.35">
      <c r="A35" t="s">
        <v>109</v>
      </c>
      <c r="B35" t="s">
        <v>50</v>
      </c>
      <c r="C35" t="s">
        <v>91</v>
      </c>
      <c r="D35" t="s">
        <v>110</v>
      </c>
      <c r="E35" t="s">
        <v>18</v>
      </c>
      <c r="F35" t="s">
        <v>63</v>
      </c>
      <c r="G35" t="s">
        <v>13</v>
      </c>
    </row>
    <row r="36" spans="1:7" x14ac:dyDescent="0.35">
      <c r="A36" t="s">
        <v>111</v>
      </c>
      <c r="B36" t="s">
        <v>112</v>
      </c>
      <c r="C36" t="s">
        <v>93</v>
      </c>
      <c r="D36" t="s">
        <v>113</v>
      </c>
      <c r="E36" t="s">
        <v>11</v>
      </c>
      <c r="F36" t="s">
        <v>32</v>
      </c>
      <c r="G36" t="s">
        <v>20</v>
      </c>
    </row>
    <row r="37" spans="1:7" x14ac:dyDescent="0.35">
      <c r="A37" t="s">
        <v>114</v>
      </c>
      <c r="B37" t="s">
        <v>50</v>
      </c>
      <c r="C37" t="s">
        <v>95</v>
      </c>
      <c r="D37" t="s">
        <v>115</v>
      </c>
      <c r="E37" t="s">
        <v>18</v>
      </c>
      <c r="F37" t="s">
        <v>32</v>
      </c>
      <c r="G37" t="s">
        <v>20</v>
      </c>
    </row>
    <row r="38" spans="1:7" x14ac:dyDescent="0.35">
      <c r="A38" t="s">
        <v>116</v>
      </c>
      <c r="B38" t="s">
        <v>74</v>
      </c>
      <c r="C38" t="s">
        <v>97</v>
      </c>
      <c r="D38" t="s">
        <v>117</v>
      </c>
      <c r="E38" t="s">
        <v>18</v>
      </c>
      <c r="F38" t="s">
        <v>63</v>
      </c>
      <c r="G38" t="s">
        <v>37</v>
      </c>
    </row>
    <row r="39" spans="1:7" x14ac:dyDescent="0.35">
      <c r="A39" t="s">
        <v>118</v>
      </c>
      <c r="B39" t="s">
        <v>29</v>
      </c>
      <c r="C39" t="s">
        <v>99</v>
      </c>
      <c r="D39" t="s">
        <v>119</v>
      </c>
      <c r="E39" t="s">
        <v>11</v>
      </c>
      <c r="F39" t="s">
        <v>12</v>
      </c>
      <c r="G39" t="s">
        <v>37</v>
      </c>
    </row>
    <row r="40" spans="1:7" x14ac:dyDescent="0.35">
      <c r="A40" t="s">
        <v>120</v>
      </c>
      <c r="B40" t="s">
        <v>15</v>
      </c>
      <c r="C40" t="s">
        <v>102</v>
      </c>
      <c r="D40" t="s">
        <v>121</v>
      </c>
      <c r="E40" t="s">
        <v>18</v>
      </c>
      <c r="F40" t="s">
        <v>63</v>
      </c>
      <c r="G40" t="s">
        <v>13</v>
      </c>
    </row>
    <row r="41" spans="1:7" x14ac:dyDescent="0.35">
      <c r="A41" t="s">
        <v>122</v>
      </c>
      <c r="B41" t="s">
        <v>112</v>
      </c>
      <c r="C41" t="s">
        <v>104</v>
      </c>
      <c r="D41" t="s">
        <v>123</v>
      </c>
      <c r="E41" t="s">
        <v>18</v>
      </c>
      <c r="F41" t="s">
        <v>12</v>
      </c>
      <c r="G41" t="s">
        <v>37</v>
      </c>
    </row>
    <row r="42" spans="1:7" x14ac:dyDescent="0.35">
      <c r="A42" t="s">
        <v>124</v>
      </c>
      <c r="B42" t="s">
        <v>25</v>
      </c>
      <c r="C42" t="s">
        <v>106</v>
      </c>
      <c r="D42" t="s">
        <v>125</v>
      </c>
      <c r="E42" t="s">
        <v>11</v>
      </c>
      <c r="F42" t="s">
        <v>32</v>
      </c>
      <c r="G42" t="s">
        <v>13</v>
      </c>
    </row>
    <row r="43" spans="1:7" x14ac:dyDescent="0.35">
      <c r="A43" t="s">
        <v>126</v>
      </c>
      <c r="B43" t="s">
        <v>8</v>
      </c>
      <c r="C43" t="s">
        <v>108</v>
      </c>
      <c r="D43" t="s">
        <v>127</v>
      </c>
      <c r="E43" t="s">
        <v>18</v>
      </c>
      <c r="F43" t="s">
        <v>32</v>
      </c>
      <c r="G43" t="s">
        <v>20</v>
      </c>
    </row>
    <row r="44" spans="1:7" x14ac:dyDescent="0.35">
      <c r="A44" t="s">
        <v>128</v>
      </c>
      <c r="B44" t="s">
        <v>74</v>
      </c>
      <c r="C44" t="s">
        <v>110</v>
      </c>
      <c r="D44" t="s">
        <v>129</v>
      </c>
      <c r="E44" t="s">
        <v>18</v>
      </c>
      <c r="F44" t="s">
        <v>19</v>
      </c>
      <c r="G44" t="s">
        <v>37</v>
      </c>
    </row>
    <row r="45" spans="1:7" x14ac:dyDescent="0.35">
      <c r="A45" t="s">
        <v>130</v>
      </c>
      <c r="B45" t="s">
        <v>82</v>
      </c>
      <c r="C45" t="s">
        <v>113</v>
      </c>
      <c r="D45" t="s">
        <v>131</v>
      </c>
      <c r="E45" t="s">
        <v>18</v>
      </c>
      <c r="F45" t="s">
        <v>12</v>
      </c>
      <c r="G45" t="s">
        <v>20</v>
      </c>
    </row>
    <row r="46" spans="1:7" x14ac:dyDescent="0.35">
      <c r="A46" t="s">
        <v>132</v>
      </c>
      <c r="B46" t="s">
        <v>77</v>
      </c>
      <c r="C46" t="s">
        <v>115</v>
      </c>
      <c r="D46" t="s">
        <v>133</v>
      </c>
      <c r="E46" t="s">
        <v>18</v>
      </c>
      <c r="F46" t="s">
        <v>19</v>
      </c>
      <c r="G46" t="s">
        <v>20</v>
      </c>
    </row>
    <row r="47" spans="1:7" x14ac:dyDescent="0.35">
      <c r="A47" t="s">
        <v>134</v>
      </c>
      <c r="B47" t="s">
        <v>71</v>
      </c>
      <c r="C47" t="s">
        <v>117</v>
      </c>
      <c r="D47" t="s">
        <v>135</v>
      </c>
      <c r="E47" t="s">
        <v>18</v>
      </c>
      <c r="F47" t="s">
        <v>32</v>
      </c>
      <c r="G47" t="s">
        <v>13</v>
      </c>
    </row>
    <row r="48" spans="1:7" x14ac:dyDescent="0.35">
      <c r="A48" t="s">
        <v>136</v>
      </c>
      <c r="B48" t="s">
        <v>137</v>
      </c>
      <c r="C48" t="s">
        <v>119</v>
      </c>
      <c r="D48" t="s">
        <v>138</v>
      </c>
      <c r="E48" t="s">
        <v>11</v>
      </c>
      <c r="F48" t="s">
        <v>19</v>
      </c>
      <c r="G48" t="s">
        <v>37</v>
      </c>
    </row>
    <row r="49" spans="1:7" x14ac:dyDescent="0.35">
      <c r="A49" t="s">
        <v>139</v>
      </c>
      <c r="B49" t="s">
        <v>8</v>
      </c>
      <c r="C49" t="s">
        <v>121</v>
      </c>
      <c r="D49" t="s">
        <v>140</v>
      </c>
      <c r="E49" t="s">
        <v>18</v>
      </c>
      <c r="F49" t="s">
        <v>32</v>
      </c>
      <c r="G49" t="s">
        <v>13</v>
      </c>
    </row>
    <row r="50" spans="1:7" x14ac:dyDescent="0.35">
      <c r="A50" t="s">
        <v>141</v>
      </c>
      <c r="B50" t="s">
        <v>15</v>
      </c>
      <c r="C50" t="s">
        <v>123</v>
      </c>
      <c r="D50" t="s">
        <v>142</v>
      </c>
      <c r="E50" t="s">
        <v>11</v>
      </c>
      <c r="F50" t="s">
        <v>19</v>
      </c>
      <c r="G50" t="s">
        <v>20</v>
      </c>
    </row>
    <row r="51" spans="1:7" x14ac:dyDescent="0.35">
      <c r="A51" t="s">
        <v>143</v>
      </c>
      <c r="B51" t="s">
        <v>137</v>
      </c>
      <c r="C51" t="s">
        <v>125</v>
      </c>
      <c r="D51" t="s">
        <v>144</v>
      </c>
      <c r="E51" t="s">
        <v>11</v>
      </c>
      <c r="F51" t="s">
        <v>63</v>
      </c>
      <c r="G51" t="s">
        <v>20</v>
      </c>
    </row>
    <row r="52" spans="1:7" x14ac:dyDescent="0.35">
      <c r="A52" t="s">
        <v>145</v>
      </c>
      <c r="B52" t="s">
        <v>101</v>
      </c>
      <c r="C52" t="s">
        <v>127</v>
      </c>
      <c r="D52" t="s">
        <v>146</v>
      </c>
      <c r="E52" t="s">
        <v>18</v>
      </c>
      <c r="F52" t="s">
        <v>63</v>
      </c>
      <c r="G52" t="s">
        <v>37</v>
      </c>
    </row>
    <row r="53" spans="1:7" x14ac:dyDescent="0.35">
      <c r="A53" t="s">
        <v>147</v>
      </c>
      <c r="B53" t="s">
        <v>137</v>
      </c>
      <c r="C53" t="s">
        <v>129</v>
      </c>
      <c r="D53" t="s">
        <v>148</v>
      </c>
      <c r="E53" t="s">
        <v>11</v>
      </c>
      <c r="F53" t="s">
        <v>63</v>
      </c>
      <c r="G53" t="s">
        <v>37</v>
      </c>
    </row>
    <row r="54" spans="1:7" x14ac:dyDescent="0.35">
      <c r="A54" t="s">
        <v>149</v>
      </c>
      <c r="B54" t="s">
        <v>61</v>
      </c>
      <c r="C54" t="s">
        <v>131</v>
      </c>
      <c r="D54" t="s">
        <v>150</v>
      </c>
      <c r="E54" t="s">
        <v>18</v>
      </c>
      <c r="F54" t="s">
        <v>32</v>
      </c>
      <c r="G54" t="s">
        <v>20</v>
      </c>
    </row>
    <row r="55" spans="1:7" x14ac:dyDescent="0.35">
      <c r="A55" t="s">
        <v>151</v>
      </c>
      <c r="B55" t="s">
        <v>39</v>
      </c>
      <c r="C55" t="s">
        <v>133</v>
      </c>
      <c r="D55" t="s">
        <v>152</v>
      </c>
      <c r="E55" t="s">
        <v>11</v>
      </c>
      <c r="F55" t="s">
        <v>19</v>
      </c>
      <c r="G55" t="s">
        <v>13</v>
      </c>
    </row>
    <row r="56" spans="1:7" x14ac:dyDescent="0.35">
      <c r="A56" t="s">
        <v>153</v>
      </c>
      <c r="B56" t="s">
        <v>112</v>
      </c>
      <c r="C56" t="s">
        <v>135</v>
      </c>
      <c r="D56" t="s">
        <v>154</v>
      </c>
      <c r="E56" t="s">
        <v>11</v>
      </c>
      <c r="F56" t="s">
        <v>63</v>
      </c>
      <c r="G56" t="s">
        <v>20</v>
      </c>
    </row>
    <row r="57" spans="1:7" x14ac:dyDescent="0.35">
      <c r="A57" t="s">
        <v>155</v>
      </c>
      <c r="B57" t="s">
        <v>77</v>
      </c>
      <c r="C57" t="s">
        <v>138</v>
      </c>
      <c r="D57" t="s">
        <v>156</v>
      </c>
      <c r="E57" t="s">
        <v>18</v>
      </c>
      <c r="F57" t="s">
        <v>19</v>
      </c>
      <c r="G57" t="s">
        <v>37</v>
      </c>
    </row>
    <row r="58" spans="1:7" x14ac:dyDescent="0.35">
      <c r="A58" t="s">
        <v>157</v>
      </c>
      <c r="B58" t="s">
        <v>8</v>
      </c>
      <c r="C58" t="s">
        <v>140</v>
      </c>
      <c r="D58" t="s">
        <v>158</v>
      </c>
      <c r="E58" t="s">
        <v>11</v>
      </c>
      <c r="F58" t="s">
        <v>32</v>
      </c>
      <c r="G58" t="s">
        <v>13</v>
      </c>
    </row>
    <row r="59" spans="1:7" x14ac:dyDescent="0.35">
      <c r="A59" t="s">
        <v>159</v>
      </c>
      <c r="B59" t="s">
        <v>61</v>
      </c>
      <c r="C59" t="s">
        <v>142</v>
      </c>
      <c r="D59" t="s">
        <v>160</v>
      </c>
      <c r="E59" t="s">
        <v>18</v>
      </c>
      <c r="F59" t="s">
        <v>32</v>
      </c>
      <c r="G59" t="s">
        <v>13</v>
      </c>
    </row>
    <row r="60" spans="1:7" x14ac:dyDescent="0.35">
      <c r="A60" t="s">
        <v>161</v>
      </c>
      <c r="B60" t="s">
        <v>15</v>
      </c>
      <c r="C60" t="s">
        <v>144</v>
      </c>
      <c r="D60" t="s">
        <v>162</v>
      </c>
      <c r="E60" t="s">
        <v>11</v>
      </c>
      <c r="F60" t="s">
        <v>19</v>
      </c>
      <c r="G60" t="s">
        <v>20</v>
      </c>
    </row>
    <row r="61" spans="1:7" x14ac:dyDescent="0.35">
      <c r="A61" t="s">
        <v>163</v>
      </c>
      <c r="B61" t="s">
        <v>39</v>
      </c>
      <c r="C61" t="s">
        <v>146</v>
      </c>
      <c r="D61" t="s">
        <v>164</v>
      </c>
      <c r="E61" t="s">
        <v>11</v>
      </c>
      <c r="F61" t="s">
        <v>12</v>
      </c>
      <c r="G61" t="s">
        <v>13</v>
      </c>
    </row>
    <row r="62" spans="1:7" x14ac:dyDescent="0.35">
      <c r="A62" t="s">
        <v>165</v>
      </c>
      <c r="B62" t="s">
        <v>39</v>
      </c>
      <c r="C62" t="s">
        <v>148</v>
      </c>
      <c r="D62" t="s">
        <v>166</v>
      </c>
      <c r="E62" t="s">
        <v>18</v>
      </c>
      <c r="F62" t="s">
        <v>32</v>
      </c>
      <c r="G62" t="s">
        <v>13</v>
      </c>
    </row>
    <row r="63" spans="1:7" x14ac:dyDescent="0.35">
      <c r="A63" t="s">
        <v>167</v>
      </c>
      <c r="B63" t="s">
        <v>101</v>
      </c>
      <c r="C63" t="s">
        <v>150</v>
      </c>
      <c r="D63" t="s">
        <v>168</v>
      </c>
      <c r="E63" t="s">
        <v>18</v>
      </c>
      <c r="F63" t="s">
        <v>63</v>
      </c>
      <c r="G63" t="s">
        <v>37</v>
      </c>
    </row>
    <row r="64" spans="1:7" x14ac:dyDescent="0.35">
      <c r="A64" t="s">
        <v>169</v>
      </c>
      <c r="B64" t="s">
        <v>101</v>
      </c>
      <c r="C64" t="s">
        <v>152</v>
      </c>
      <c r="D64" t="s">
        <v>170</v>
      </c>
      <c r="E64" t="s">
        <v>11</v>
      </c>
      <c r="F64" t="s">
        <v>32</v>
      </c>
      <c r="G64" t="s">
        <v>13</v>
      </c>
    </row>
    <row r="65" spans="1:7" x14ac:dyDescent="0.35">
      <c r="A65" t="s">
        <v>171</v>
      </c>
      <c r="B65" t="s">
        <v>25</v>
      </c>
      <c r="C65" t="s">
        <v>154</v>
      </c>
      <c r="D65" t="s">
        <v>172</v>
      </c>
      <c r="E65" t="s">
        <v>18</v>
      </c>
      <c r="F65" t="s">
        <v>12</v>
      </c>
      <c r="G65" t="s">
        <v>37</v>
      </c>
    </row>
    <row r="66" spans="1:7" x14ac:dyDescent="0.35">
      <c r="A66" t="s">
        <v>173</v>
      </c>
      <c r="B66" t="s">
        <v>71</v>
      </c>
      <c r="C66" t="s">
        <v>156</v>
      </c>
      <c r="D66" t="s">
        <v>174</v>
      </c>
      <c r="E66" t="s">
        <v>11</v>
      </c>
      <c r="F66" t="s">
        <v>12</v>
      </c>
      <c r="G66" t="s">
        <v>13</v>
      </c>
    </row>
    <row r="67" spans="1:7" x14ac:dyDescent="0.35">
      <c r="A67" t="s">
        <v>175</v>
      </c>
      <c r="B67" t="s">
        <v>34</v>
      </c>
      <c r="C67" t="s">
        <v>158</v>
      </c>
      <c r="D67" t="s">
        <v>176</v>
      </c>
      <c r="E67" t="s">
        <v>18</v>
      </c>
      <c r="F67" t="s">
        <v>19</v>
      </c>
      <c r="G67" t="s">
        <v>13</v>
      </c>
    </row>
    <row r="68" spans="1:7" x14ac:dyDescent="0.35">
      <c r="A68" t="s">
        <v>177</v>
      </c>
      <c r="B68" t="s">
        <v>55</v>
      </c>
      <c r="C68" t="s">
        <v>160</v>
      </c>
      <c r="D68" t="s">
        <v>178</v>
      </c>
      <c r="E68" t="s">
        <v>18</v>
      </c>
      <c r="F68" t="s">
        <v>32</v>
      </c>
      <c r="G68" t="s">
        <v>20</v>
      </c>
    </row>
    <row r="69" spans="1:7" x14ac:dyDescent="0.35">
      <c r="A69" t="s">
        <v>179</v>
      </c>
      <c r="B69" t="s">
        <v>61</v>
      </c>
      <c r="C69" t="s">
        <v>162</v>
      </c>
      <c r="D69" t="s">
        <v>180</v>
      </c>
      <c r="E69" t="s">
        <v>18</v>
      </c>
      <c r="F69" t="s">
        <v>12</v>
      </c>
      <c r="G69" t="s">
        <v>13</v>
      </c>
    </row>
    <row r="70" spans="1:7" x14ac:dyDescent="0.35">
      <c r="A70" t="s">
        <v>181</v>
      </c>
      <c r="B70" t="s">
        <v>58</v>
      </c>
      <c r="C70" t="s">
        <v>164</v>
      </c>
      <c r="D70" t="s">
        <v>182</v>
      </c>
      <c r="E70" t="s">
        <v>18</v>
      </c>
      <c r="F70" t="s">
        <v>32</v>
      </c>
      <c r="G70" t="s">
        <v>20</v>
      </c>
    </row>
    <row r="71" spans="1:7" x14ac:dyDescent="0.35">
      <c r="A71" t="s">
        <v>183</v>
      </c>
      <c r="B71" t="s">
        <v>68</v>
      </c>
      <c r="C71" t="s">
        <v>166</v>
      </c>
      <c r="D71" t="s">
        <v>184</v>
      </c>
      <c r="E71" t="s">
        <v>11</v>
      </c>
      <c r="F71" t="s">
        <v>12</v>
      </c>
      <c r="G71" t="s">
        <v>37</v>
      </c>
    </row>
    <row r="72" spans="1:7" x14ac:dyDescent="0.35">
      <c r="A72" t="s">
        <v>185</v>
      </c>
      <c r="B72" t="s">
        <v>55</v>
      </c>
      <c r="C72" t="s">
        <v>168</v>
      </c>
      <c r="D72" t="s">
        <v>186</v>
      </c>
      <c r="E72" t="s">
        <v>11</v>
      </c>
      <c r="F72" t="s">
        <v>32</v>
      </c>
      <c r="G72" t="s">
        <v>20</v>
      </c>
    </row>
    <row r="73" spans="1:7" x14ac:dyDescent="0.35">
      <c r="A73" t="s">
        <v>187</v>
      </c>
      <c r="B73" t="s">
        <v>65</v>
      </c>
      <c r="C73" t="s">
        <v>170</v>
      </c>
      <c r="D73" t="s">
        <v>188</v>
      </c>
      <c r="E73" t="s">
        <v>11</v>
      </c>
      <c r="F73" t="s">
        <v>12</v>
      </c>
      <c r="G73" t="s">
        <v>20</v>
      </c>
    </row>
    <row r="74" spans="1:7" x14ac:dyDescent="0.35">
      <c r="A74" t="s">
        <v>189</v>
      </c>
      <c r="B74" t="s">
        <v>82</v>
      </c>
      <c r="C74" t="s">
        <v>172</v>
      </c>
      <c r="D74" t="s">
        <v>190</v>
      </c>
      <c r="E74" t="s">
        <v>18</v>
      </c>
      <c r="F74" t="s">
        <v>19</v>
      </c>
      <c r="G74" t="s">
        <v>13</v>
      </c>
    </row>
    <row r="75" spans="1:7" x14ac:dyDescent="0.35">
      <c r="A75" t="s">
        <v>191</v>
      </c>
      <c r="B75" t="s">
        <v>101</v>
      </c>
      <c r="C75" t="s">
        <v>174</v>
      </c>
      <c r="D75" t="s">
        <v>192</v>
      </c>
      <c r="E75" t="s">
        <v>18</v>
      </c>
      <c r="F75" t="s">
        <v>32</v>
      </c>
      <c r="G75" t="s">
        <v>20</v>
      </c>
    </row>
    <row r="76" spans="1:7" x14ac:dyDescent="0.35">
      <c r="A76" t="s">
        <v>193</v>
      </c>
      <c r="B76" t="s">
        <v>77</v>
      </c>
      <c r="C76" t="s">
        <v>176</v>
      </c>
      <c r="D76" t="s">
        <v>194</v>
      </c>
      <c r="E76" t="s">
        <v>11</v>
      </c>
      <c r="F76" t="s">
        <v>19</v>
      </c>
      <c r="G76" t="s">
        <v>13</v>
      </c>
    </row>
    <row r="77" spans="1:7" x14ac:dyDescent="0.35">
      <c r="A77" t="s">
        <v>195</v>
      </c>
      <c r="B77" t="s">
        <v>34</v>
      </c>
      <c r="C77" t="s">
        <v>178</v>
      </c>
      <c r="D77" t="s">
        <v>196</v>
      </c>
      <c r="E77" t="s">
        <v>18</v>
      </c>
      <c r="F77" t="s">
        <v>63</v>
      </c>
      <c r="G77" t="s">
        <v>20</v>
      </c>
    </row>
    <row r="78" spans="1:7" x14ac:dyDescent="0.35">
      <c r="A78" t="s">
        <v>197</v>
      </c>
      <c r="B78" t="s">
        <v>39</v>
      </c>
      <c r="C78" t="s">
        <v>180</v>
      </c>
      <c r="D78" t="s">
        <v>198</v>
      </c>
      <c r="E78" t="s">
        <v>18</v>
      </c>
      <c r="F78" t="s">
        <v>12</v>
      </c>
      <c r="G78" t="s">
        <v>20</v>
      </c>
    </row>
    <row r="79" spans="1:7" x14ac:dyDescent="0.35">
      <c r="A79" t="s">
        <v>199</v>
      </c>
      <c r="B79" t="s">
        <v>82</v>
      </c>
      <c r="C79" t="s">
        <v>182</v>
      </c>
      <c r="D79" t="s">
        <v>200</v>
      </c>
      <c r="E79" t="s">
        <v>11</v>
      </c>
      <c r="F79" t="s">
        <v>19</v>
      </c>
      <c r="G79" t="s">
        <v>13</v>
      </c>
    </row>
    <row r="80" spans="1:7" x14ac:dyDescent="0.35">
      <c r="A80" t="s">
        <v>201</v>
      </c>
      <c r="B80" t="s">
        <v>82</v>
      </c>
      <c r="C80" t="s">
        <v>184</v>
      </c>
      <c r="D80" t="s">
        <v>202</v>
      </c>
      <c r="E80" t="s">
        <v>18</v>
      </c>
      <c r="F80" t="s">
        <v>12</v>
      </c>
      <c r="G80" t="s">
        <v>13</v>
      </c>
    </row>
    <row r="81" spans="1:7" x14ac:dyDescent="0.35">
      <c r="A81" t="s">
        <v>203</v>
      </c>
      <c r="B81" t="s">
        <v>74</v>
      </c>
      <c r="C81" t="s">
        <v>186</v>
      </c>
      <c r="D81" t="s">
        <v>204</v>
      </c>
      <c r="E81" t="s">
        <v>18</v>
      </c>
      <c r="F81" t="s">
        <v>63</v>
      </c>
      <c r="G81" t="s">
        <v>37</v>
      </c>
    </row>
    <row r="82" spans="1:7" x14ac:dyDescent="0.35">
      <c r="A82" t="s">
        <v>205</v>
      </c>
      <c r="B82" t="s">
        <v>65</v>
      </c>
      <c r="C82" t="s">
        <v>188</v>
      </c>
      <c r="D82" t="s">
        <v>206</v>
      </c>
      <c r="E82" t="s">
        <v>18</v>
      </c>
      <c r="F82" t="s">
        <v>19</v>
      </c>
      <c r="G82" t="s">
        <v>20</v>
      </c>
    </row>
    <row r="83" spans="1:7" x14ac:dyDescent="0.35">
      <c r="A83" t="s">
        <v>207</v>
      </c>
      <c r="B83" t="s">
        <v>61</v>
      </c>
      <c r="C83" t="s">
        <v>190</v>
      </c>
      <c r="D83" t="s">
        <v>208</v>
      </c>
      <c r="E83" t="s">
        <v>18</v>
      </c>
      <c r="F83" t="s">
        <v>63</v>
      </c>
      <c r="G83" t="s">
        <v>20</v>
      </c>
    </row>
    <row r="84" spans="1:7" x14ac:dyDescent="0.35">
      <c r="A84" t="s">
        <v>209</v>
      </c>
      <c r="B84" t="s">
        <v>65</v>
      </c>
      <c r="C84" t="s">
        <v>192</v>
      </c>
      <c r="D84" t="s">
        <v>210</v>
      </c>
      <c r="E84" t="s">
        <v>18</v>
      </c>
      <c r="F84" t="s">
        <v>63</v>
      </c>
      <c r="G84" t="s">
        <v>20</v>
      </c>
    </row>
    <row r="85" spans="1:7" x14ac:dyDescent="0.35">
      <c r="A85" t="s">
        <v>211</v>
      </c>
      <c r="B85" t="s">
        <v>112</v>
      </c>
      <c r="C85" t="s">
        <v>194</v>
      </c>
      <c r="D85" t="s">
        <v>212</v>
      </c>
      <c r="E85" t="s">
        <v>18</v>
      </c>
      <c r="F85" t="s">
        <v>12</v>
      </c>
      <c r="G85" t="s">
        <v>20</v>
      </c>
    </row>
    <row r="86" spans="1:7" x14ac:dyDescent="0.35">
      <c r="A86" t="s">
        <v>213</v>
      </c>
      <c r="B86" t="s">
        <v>29</v>
      </c>
      <c r="C86" t="s">
        <v>196</v>
      </c>
      <c r="D86" t="s">
        <v>214</v>
      </c>
      <c r="E86" t="s">
        <v>11</v>
      </c>
      <c r="F86" t="s">
        <v>32</v>
      </c>
      <c r="G86" t="s">
        <v>13</v>
      </c>
    </row>
    <row r="87" spans="1:7" x14ac:dyDescent="0.35">
      <c r="A87" t="s">
        <v>215</v>
      </c>
      <c r="B87" t="s">
        <v>77</v>
      </c>
      <c r="C87" t="s">
        <v>198</v>
      </c>
      <c r="D87" t="s">
        <v>216</v>
      </c>
      <c r="E87" t="s">
        <v>11</v>
      </c>
      <c r="F87" t="s">
        <v>12</v>
      </c>
      <c r="G87" t="s">
        <v>20</v>
      </c>
    </row>
    <row r="88" spans="1:7" x14ac:dyDescent="0.35">
      <c r="A88" t="s">
        <v>217</v>
      </c>
      <c r="B88" t="s">
        <v>39</v>
      </c>
      <c r="C88" t="s">
        <v>200</v>
      </c>
      <c r="D88" t="s">
        <v>218</v>
      </c>
      <c r="E88" t="s">
        <v>18</v>
      </c>
      <c r="F88" t="s">
        <v>32</v>
      </c>
      <c r="G88" t="s">
        <v>20</v>
      </c>
    </row>
    <row r="89" spans="1:7" x14ac:dyDescent="0.35">
      <c r="A89" t="s">
        <v>219</v>
      </c>
      <c r="B89" t="s">
        <v>50</v>
      </c>
      <c r="C89" t="s">
        <v>202</v>
      </c>
      <c r="D89" t="s">
        <v>220</v>
      </c>
      <c r="E89" t="s">
        <v>11</v>
      </c>
      <c r="F89" t="s">
        <v>63</v>
      </c>
      <c r="G89" t="s">
        <v>37</v>
      </c>
    </row>
    <row r="90" spans="1:7" x14ac:dyDescent="0.35">
      <c r="A90" t="s">
        <v>221</v>
      </c>
      <c r="B90" t="s">
        <v>34</v>
      </c>
      <c r="C90" t="s">
        <v>204</v>
      </c>
      <c r="D90" t="s">
        <v>222</v>
      </c>
      <c r="E90" t="s">
        <v>18</v>
      </c>
      <c r="F90" t="s">
        <v>12</v>
      </c>
      <c r="G90" t="s">
        <v>37</v>
      </c>
    </row>
    <row r="91" spans="1:7" x14ac:dyDescent="0.35">
      <c r="A91" t="s">
        <v>223</v>
      </c>
      <c r="B91" t="s">
        <v>61</v>
      </c>
      <c r="C91" t="s">
        <v>206</v>
      </c>
      <c r="D91" t="s">
        <v>224</v>
      </c>
      <c r="E91" t="s">
        <v>18</v>
      </c>
      <c r="F91" t="s">
        <v>19</v>
      </c>
      <c r="G91" t="s">
        <v>20</v>
      </c>
    </row>
    <row r="92" spans="1:7" x14ac:dyDescent="0.35">
      <c r="A92" t="s">
        <v>225</v>
      </c>
      <c r="B92" t="s">
        <v>68</v>
      </c>
      <c r="C92" t="s">
        <v>208</v>
      </c>
      <c r="D92" t="s">
        <v>226</v>
      </c>
      <c r="E92" t="s">
        <v>18</v>
      </c>
      <c r="F92" t="s">
        <v>12</v>
      </c>
      <c r="G92" t="s">
        <v>13</v>
      </c>
    </row>
    <row r="93" spans="1:7" x14ac:dyDescent="0.35">
      <c r="A93" t="s">
        <v>227</v>
      </c>
      <c r="B93" t="s">
        <v>58</v>
      </c>
      <c r="C93" t="s">
        <v>210</v>
      </c>
      <c r="D93" t="s">
        <v>228</v>
      </c>
      <c r="E93" t="s">
        <v>11</v>
      </c>
      <c r="F93" t="s">
        <v>12</v>
      </c>
      <c r="G93" t="s">
        <v>37</v>
      </c>
    </row>
    <row r="94" spans="1:7" x14ac:dyDescent="0.35">
      <c r="A94" t="s">
        <v>229</v>
      </c>
      <c r="B94" t="s">
        <v>65</v>
      </c>
      <c r="C94" t="s">
        <v>212</v>
      </c>
      <c r="D94" t="s">
        <v>230</v>
      </c>
      <c r="E94" t="s">
        <v>18</v>
      </c>
      <c r="F94" t="s">
        <v>63</v>
      </c>
      <c r="G94" t="s">
        <v>13</v>
      </c>
    </row>
    <row r="95" spans="1:7" x14ac:dyDescent="0.35">
      <c r="A95" t="s">
        <v>231</v>
      </c>
      <c r="B95" t="s">
        <v>8</v>
      </c>
      <c r="C95" t="s">
        <v>214</v>
      </c>
      <c r="D95" t="s">
        <v>232</v>
      </c>
      <c r="E95" t="s">
        <v>18</v>
      </c>
      <c r="F95" t="s">
        <v>19</v>
      </c>
      <c r="G95" t="s">
        <v>13</v>
      </c>
    </row>
    <row r="96" spans="1:7" x14ac:dyDescent="0.35">
      <c r="A96" t="s">
        <v>233</v>
      </c>
      <c r="B96" t="s">
        <v>137</v>
      </c>
      <c r="C96" t="s">
        <v>216</v>
      </c>
      <c r="D96" t="s">
        <v>234</v>
      </c>
      <c r="E96" t="s">
        <v>18</v>
      </c>
      <c r="F96" t="s">
        <v>12</v>
      </c>
      <c r="G96" t="s">
        <v>20</v>
      </c>
    </row>
    <row r="97" spans="1:7" x14ac:dyDescent="0.35">
      <c r="A97" t="s">
        <v>235</v>
      </c>
      <c r="B97" t="s">
        <v>46</v>
      </c>
      <c r="C97" t="s">
        <v>218</v>
      </c>
      <c r="D97" t="s">
        <v>236</v>
      </c>
      <c r="E97" t="s">
        <v>11</v>
      </c>
      <c r="F97" t="s">
        <v>19</v>
      </c>
      <c r="G97" t="s">
        <v>20</v>
      </c>
    </row>
    <row r="98" spans="1:7" x14ac:dyDescent="0.35">
      <c r="A98" t="s">
        <v>237</v>
      </c>
      <c r="B98" t="s">
        <v>65</v>
      </c>
      <c r="C98" t="s">
        <v>220</v>
      </c>
      <c r="D98" t="s">
        <v>238</v>
      </c>
      <c r="E98" t="s">
        <v>18</v>
      </c>
      <c r="F98" t="s">
        <v>12</v>
      </c>
      <c r="G98" t="s">
        <v>20</v>
      </c>
    </row>
    <row r="99" spans="1:7" x14ac:dyDescent="0.35">
      <c r="A99" t="s">
        <v>239</v>
      </c>
      <c r="B99" t="s">
        <v>68</v>
      </c>
      <c r="C99" t="s">
        <v>222</v>
      </c>
      <c r="D99" t="s">
        <v>240</v>
      </c>
      <c r="E99" t="s">
        <v>18</v>
      </c>
      <c r="F99" t="s">
        <v>12</v>
      </c>
      <c r="G99" t="s">
        <v>20</v>
      </c>
    </row>
    <row r="100" spans="1:7" x14ac:dyDescent="0.35">
      <c r="A100" t="s">
        <v>241</v>
      </c>
      <c r="B100" t="s">
        <v>101</v>
      </c>
      <c r="C100" t="s">
        <v>224</v>
      </c>
      <c r="D100" t="s">
        <v>242</v>
      </c>
      <c r="E100" t="s">
        <v>18</v>
      </c>
      <c r="F100" t="s">
        <v>63</v>
      </c>
      <c r="G100" t="s">
        <v>20</v>
      </c>
    </row>
    <row r="101" spans="1:7" x14ac:dyDescent="0.35">
      <c r="A101" t="s">
        <v>243</v>
      </c>
      <c r="B101" t="s">
        <v>39</v>
      </c>
      <c r="C101" t="s">
        <v>226</v>
      </c>
      <c r="D101" t="s">
        <v>244</v>
      </c>
      <c r="E101" t="s">
        <v>11</v>
      </c>
      <c r="F101" t="s">
        <v>32</v>
      </c>
      <c r="G101" t="s">
        <v>37</v>
      </c>
    </row>
    <row r="102" spans="1:7" x14ac:dyDescent="0.35">
      <c r="A102" t="s">
        <v>245</v>
      </c>
      <c r="B102" t="s">
        <v>46</v>
      </c>
      <c r="C102" t="s">
        <v>228</v>
      </c>
      <c r="D102" t="s">
        <v>246</v>
      </c>
      <c r="E102" t="s">
        <v>18</v>
      </c>
      <c r="F102" t="s">
        <v>12</v>
      </c>
      <c r="G102" t="s">
        <v>13</v>
      </c>
    </row>
    <row r="103" spans="1:7" x14ac:dyDescent="0.35">
      <c r="A103" t="s">
        <v>247</v>
      </c>
      <c r="B103" t="s">
        <v>46</v>
      </c>
      <c r="C103" t="s">
        <v>230</v>
      </c>
      <c r="D103" t="s">
        <v>248</v>
      </c>
      <c r="E103" t="s">
        <v>18</v>
      </c>
      <c r="F103" t="s">
        <v>12</v>
      </c>
      <c r="G103" t="s">
        <v>37</v>
      </c>
    </row>
    <row r="104" spans="1:7" x14ac:dyDescent="0.35">
      <c r="A104" t="s">
        <v>249</v>
      </c>
      <c r="B104" t="s">
        <v>101</v>
      </c>
      <c r="C104" t="s">
        <v>232</v>
      </c>
      <c r="D104" t="s">
        <v>250</v>
      </c>
      <c r="E104" t="s">
        <v>11</v>
      </c>
      <c r="F104" t="s">
        <v>63</v>
      </c>
      <c r="G104" t="s">
        <v>37</v>
      </c>
    </row>
    <row r="105" spans="1:7" x14ac:dyDescent="0.35">
      <c r="A105" t="s">
        <v>251</v>
      </c>
      <c r="B105" t="s">
        <v>39</v>
      </c>
      <c r="C105" t="s">
        <v>234</v>
      </c>
      <c r="D105" t="s">
        <v>252</v>
      </c>
      <c r="E105" t="s">
        <v>11</v>
      </c>
      <c r="F105" t="s">
        <v>63</v>
      </c>
      <c r="G105" t="s">
        <v>13</v>
      </c>
    </row>
    <row r="106" spans="1:7" x14ac:dyDescent="0.35">
      <c r="A106" t="s">
        <v>253</v>
      </c>
      <c r="B106" t="s">
        <v>137</v>
      </c>
      <c r="C106" t="s">
        <v>236</v>
      </c>
      <c r="D106" t="s">
        <v>254</v>
      </c>
      <c r="E106" t="s">
        <v>18</v>
      </c>
      <c r="F106" t="s">
        <v>63</v>
      </c>
      <c r="G106" t="s">
        <v>37</v>
      </c>
    </row>
    <row r="107" spans="1:7" x14ac:dyDescent="0.35">
      <c r="A107" t="s">
        <v>255</v>
      </c>
      <c r="B107" t="s">
        <v>101</v>
      </c>
      <c r="C107" t="s">
        <v>238</v>
      </c>
      <c r="D107" t="s">
        <v>256</v>
      </c>
      <c r="E107" t="s">
        <v>11</v>
      </c>
      <c r="F107" t="s">
        <v>63</v>
      </c>
      <c r="G107" t="s">
        <v>20</v>
      </c>
    </row>
    <row r="108" spans="1:7" x14ac:dyDescent="0.35">
      <c r="A108" t="s">
        <v>257</v>
      </c>
      <c r="B108" t="s">
        <v>82</v>
      </c>
      <c r="C108" t="s">
        <v>240</v>
      </c>
      <c r="D108" t="s">
        <v>258</v>
      </c>
      <c r="E108" t="s">
        <v>18</v>
      </c>
      <c r="F108" t="s">
        <v>32</v>
      </c>
      <c r="G108" t="s">
        <v>37</v>
      </c>
    </row>
    <row r="109" spans="1:7" x14ac:dyDescent="0.35">
      <c r="A109" t="s">
        <v>259</v>
      </c>
      <c r="B109" t="s">
        <v>74</v>
      </c>
      <c r="C109" t="s">
        <v>242</v>
      </c>
      <c r="D109" t="s">
        <v>260</v>
      </c>
      <c r="E109" t="s">
        <v>18</v>
      </c>
      <c r="F109" t="s">
        <v>19</v>
      </c>
      <c r="G109" t="s">
        <v>37</v>
      </c>
    </row>
    <row r="110" spans="1:7" x14ac:dyDescent="0.35">
      <c r="A110" t="s">
        <v>261</v>
      </c>
      <c r="B110" t="s">
        <v>74</v>
      </c>
      <c r="C110" t="s">
        <v>244</v>
      </c>
      <c r="D110" t="s">
        <v>262</v>
      </c>
      <c r="E110" t="s">
        <v>11</v>
      </c>
      <c r="F110" t="s">
        <v>12</v>
      </c>
      <c r="G110" t="s">
        <v>20</v>
      </c>
    </row>
    <row r="111" spans="1:7" x14ac:dyDescent="0.35">
      <c r="A111" t="s">
        <v>263</v>
      </c>
      <c r="B111" t="s">
        <v>8</v>
      </c>
      <c r="C111" t="s">
        <v>246</v>
      </c>
      <c r="D111" t="s">
        <v>264</v>
      </c>
      <c r="E111" t="s">
        <v>11</v>
      </c>
      <c r="F111" t="s">
        <v>12</v>
      </c>
      <c r="G111" t="s">
        <v>37</v>
      </c>
    </row>
    <row r="112" spans="1:7" x14ac:dyDescent="0.35">
      <c r="A112" t="s">
        <v>265</v>
      </c>
      <c r="B112" t="s">
        <v>71</v>
      </c>
      <c r="C112" t="s">
        <v>248</v>
      </c>
      <c r="D112" t="s">
        <v>266</v>
      </c>
      <c r="E112" t="s">
        <v>11</v>
      </c>
      <c r="F112" t="s">
        <v>12</v>
      </c>
      <c r="G112" t="s">
        <v>37</v>
      </c>
    </row>
    <row r="113" spans="1:7" x14ac:dyDescent="0.35">
      <c r="A113" t="s">
        <v>267</v>
      </c>
      <c r="B113" t="s">
        <v>74</v>
      </c>
      <c r="C113" t="s">
        <v>250</v>
      </c>
      <c r="D113" t="s">
        <v>268</v>
      </c>
      <c r="E113" t="s">
        <v>11</v>
      </c>
      <c r="F113" t="s">
        <v>32</v>
      </c>
      <c r="G113" t="s">
        <v>13</v>
      </c>
    </row>
    <row r="114" spans="1:7" x14ac:dyDescent="0.35">
      <c r="A114" t="s">
        <v>269</v>
      </c>
      <c r="B114" t="s">
        <v>77</v>
      </c>
      <c r="C114" t="s">
        <v>252</v>
      </c>
      <c r="D114" t="s">
        <v>270</v>
      </c>
      <c r="E114" t="s">
        <v>11</v>
      </c>
      <c r="F114" t="s">
        <v>32</v>
      </c>
      <c r="G114" t="s">
        <v>37</v>
      </c>
    </row>
    <row r="115" spans="1:7" x14ac:dyDescent="0.35">
      <c r="A115" t="s">
        <v>271</v>
      </c>
      <c r="B115" t="s">
        <v>15</v>
      </c>
      <c r="C115" t="s">
        <v>254</v>
      </c>
      <c r="D115" t="s">
        <v>272</v>
      </c>
      <c r="E115" t="s">
        <v>11</v>
      </c>
      <c r="F115" t="s">
        <v>19</v>
      </c>
      <c r="G115" t="s">
        <v>37</v>
      </c>
    </row>
    <row r="116" spans="1:7" x14ac:dyDescent="0.35">
      <c r="A116" t="s">
        <v>273</v>
      </c>
      <c r="B116" t="s">
        <v>65</v>
      </c>
      <c r="C116" t="s">
        <v>256</v>
      </c>
      <c r="D116" t="s">
        <v>274</v>
      </c>
      <c r="E116" t="s">
        <v>18</v>
      </c>
      <c r="F116" t="s">
        <v>32</v>
      </c>
      <c r="G116" t="s">
        <v>13</v>
      </c>
    </row>
    <row r="117" spans="1:7" x14ac:dyDescent="0.35">
      <c r="A117" t="s">
        <v>275</v>
      </c>
      <c r="B117" t="s">
        <v>137</v>
      </c>
      <c r="C117" t="s">
        <v>258</v>
      </c>
      <c r="D117" t="s">
        <v>276</v>
      </c>
      <c r="E117" t="s">
        <v>11</v>
      </c>
      <c r="F117" t="s">
        <v>19</v>
      </c>
      <c r="G117" t="s">
        <v>37</v>
      </c>
    </row>
    <row r="118" spans="1:7" x14ac:dyDescent="0.35">
      <c r="A118" t="s">
        <v>277</v>
      </c>
      <c r="B118" t="s">
        <v>50</v>
      </c>
      <c r="C118" t="s">
        <v>260</v>
      </c>
      <c r="D118" t="s">
        <v>278</v>
      </c>
      <c r="E118" t="s">
        <v>18</v>
      </c>
      <c r="F118" t="s">
        <v>12</v>
      </c>
      <c r="G118" t="s">
        <v>20</v>
      </c>
    </row>
    <row r="119" spans="1:7" x14ac:dyDescent="0.35">
      <c r="A119" t="s">
        <v>279</v>
      </c>
      <c r="B119" t="s">
        <v>46</v>
      </c>
      <c r="C119" t="s">
        <v>262</v>
      </c>
      <c r="D119" t="s">
        <v>280</v>
      </c>
      <c r="E119" t="s">
        <v>11</v>
      </c>
      <c r="F119" t="s">
        <v>63</v>
      </c>
      <c r="G119" t="s">
        <v>13</v>
      </c>
    </row>
    <row r="120" spans="1:7" x14ac:dyDescent="0.35">
      <c r="A120" t="s">
        <v>281</v>
      </c>
      <c r="B120" t="s">
        <v>61</v>
      </c>
      <c r="C120" t="s">
        <v>264</v>
      </c>
      <c r="D120" t="s">
        <v>282</v>
      </c>
      <c r="E120" t="s">
        <v>11</v>
      </c>
      <c r="F120" t="s">
        <v>19</v>
      </c>
      <c r="G120" t="s">
        <v>37</v>
      </c>
    </row>
    <row r="121" spans="1:7" x14ac:dyDescent="0.35">
      <c r="A121" t="s">
        <v>283</v>
      </c>
      <c r="B121" t="s">
        <v>137</v>
      </c>
      <c r="C121" t="s">
        <v>266</v>
      </c>
      <c r="D121" t="s">
        <v>284</v>
      </c>
      <c r="E121" t="s">
        <v>18</v>
      </c>
      <c r="F121" t="s">
        <v>12</v>
      </c>
      <c r="G121" t="s">
        <v>37</v>
      </c>
    </row>
    <row r="122" spans="1:7" x14ac:dyDescent="0.35">
      <c r="A122" t="s">
        <v>285</v>
      </c>
      <c r="B122" t="s">
        <v>71</v>
      </c>
      <c r="C122" t="s">
        <v>268</v>
      </c>
      <c r="D122" t="s">
        <v>286</v>
      </c>
      <c r="E122" t="s">
        <v>18</v>
      </c>
      <c r="F122" t="s">
        <v>19</v>
      </c>
      <c r="G122" t="s">
        <v>20</v>
      </c>
    </row>
    <row r="123" spans="1:7" x14ac:dyDescent="0.35">
      <c r="A123" t="s">
        <v>287</v>
      </c>
      <c r="B123" t="s">
        <v>65</v>
      </c>
      <c r="C123" t="s">
        <v>270</v>
      </c>
      <c r="D123" t="s">
        <v>288</v>
      </c>
      <c r="E123" t="s">
        <v>18</v>
      </c>
      <c r="F123" t="s">
        <v>32</v>
      </c>
      <c r="G123" t="s">
        <v>37</v>
      </c>
    </row>
    <row r="124" spans="1:7" x14ac:dyDescent="0.35">
      <c r="A124" t="s">
        <v>289</v>
      </c>
      <c r="B124" t="s">
        <v>15</v>
      </c>
      <c r="C124" t="s">
        <v>272</v>
      </c>
      <c r="D124" t="s">
        <v>290</v>
      </c>
      <c r="E124" t="s">
        <v>18</v>
      </c>
      <c r="F124" t="s">
        <v>32</v>
      </c>
      <c r="G124" t="s">
        <v>37</v>
      </c>
    </row>
    <row r="125" spans="1:7" x14ac:dyDescent="0.35">
      <c r="A125" t="s">
        <v>291</v>
      </c>
      <c r="B125" t="s">
        <v>46</v>
      </c>
      <c r="C125" t="s">
        <v>274</v>
      </c>
      <c r="D125" t="s">
        <v>292</v>
      </c>
      <c r="E125" t="s">
        <v>11</v>
      </c>
      <c r="F125" t="s">
        <v>32</v>
      </c>
      <c r="G125" t="s">
        <v>37</v>
      </c>
    </row>
    <row r="126" spans="1:7" x14ac:dyDescent="0.35">
      <c r="A126" t="s">
        <v>293</v>
      </c>
      <c r="B126" t="s">
        <v>39</v>
      </c>
      <c r="C126" t="s">
        <v>276</v>
      </c>
      <c r="D126" t="s">
        <v>294</v>
      </c>
      <c r="E126" t="s">
        <v>11</v>
      </c>
      <c r="F126" t="s">
        <v>32</v>
      </c>
      <c r="G126" t="s">
        <v>20</v>
      </c>
    </row>
    <row r="127" spans="1:7" x14ac:dyDescent="0.35">
      <c r="A127" t="s">
        <v>295</v>
      </c>
      <c r="B127" t="s">
        <v>61</v>
      </c>
      <c r="C127" t="s">
        <v>278</v>
      </c>
      <c r="D127" t="s">
        <v>296</v>
      </c>
      <c r="E127" t="s">
        <v>18</v>
      </c>
      <c r="F127" t="s">
        <v>19</v>
      </c>
      <c r="G127" t="s">
        <v>37</v>
      </c>
    </row>
    <row r="128" spans="1:7" x14ac:dyDescent="0.35">
      <c r="A128" t="s">
        <v>297</v>
      </c>
      <c r="B128" t="s">
        <v>71</v>
      </c>
      <c r="C128" t="s">
        <v>280</v>
      </c>
      <c r="D128" t="s">
        <v>298</v>
      </c>
      <c r="E128" t="s">
        <v>11</v>
      </c>
      <c r="F128" t="s">
        <v>63</v>
      </c>
      <c r="G128" t="s">
        <v>20</v>
      </c>
    </row>
    <row r="129" spans="1:7" x14ac:dyDescent="0.35">
      <c r="A129" t="s">
        <v>299</v>
      </c>
      <c r="B129" t="s">
        <v>71</v>
      </c>
      <c r="C129" t="s">
        <v>282</v>
      </c>
      <c r="D129" t="s">
        <v>300</v>
      </c>
      <c r="E129" t="s">
        <v>11</v>
      </c>
      <c r="F129" t="s">
        <v>19</v>
      </c>
      <c r="G129" t="s">
        <v>20</v>
      </c>
    </row>
    <row r="130" spans="1:7" x14ac:dyDescent="0.35">
      <c r="A130" t="s">
        <v>301</v>
      </c>
      <c r="B130" t="s">
        <v>39</v>
      </c>
      <c r="C130" t="s">
        <v>284</v>
      </c>
      <c r="D130" t="s">
        <v>302</v>
      </c>
      <c r="E130" t="s">
        <v>18</v>
      </c>
      <c r="F130" t="s">
        <v>12</v>
      </c>
      <c r="G130" t="s">
        <v>37</v>
      </c>
    </row>
    <row r="131" spans="1:7" x14ac:dyDescent="0.35">
      <c r="A131" t="s">
        <v>303</v>
      </c>
      <c r="B131" t="s">
        <v>34</v>
      </c>
      <c r="C131" t="s">
        <v>286</v>
      </c>
      <c r="D131" t="s">
        <v>304</v>
      </c>
      <c r="E131" t="s">
        <v>18</v>
      </c>
      <c r="F131" t="s">
        <v>19</v>
      </c>
      <c r="G13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0B72-40F3-4D05-898C-FA77990185D5}">
  <dimension ref="A1:P131"/>
  <sheetViews>
    <sheetView tabSelected="1" workbookViewId="0">
      <selection activeCell="D1" sqref="D1"/>
    </sheetView>
  </sheetViews>
  <sheetFormatPr defaultRowHeight="14.5" x14ac:dyDescent="0.35"/>
  <cols>
    <col min="1" max="1" width="11.90625" bestFit="1" customWidth="1"/>
    <col min="2" max="2" width="8.36328125" bestFit="1" customWidth="1"/>
    <col min="3" max="3" width="7.36328125" bestFit="1" customWidth="1"/>
    <col min="4" max="4" width="10.6328125" bestFit="1" customWidth="1"/>
    <col min="5" max="5" width="11.26953125" bestFit="1" customWidth="1"/>
    <col min="6" max="6" width="7.6328125" bestFit="1" customWidth="1"/>
    <col min="7" max="7" width="9.36328125" bestFit="1" customWidth="1"/>
    <col min="8" max="8" width="13.90625" style="8" bestFit="1" customWidth="1"/>
    <col min="9" max="9" width="14.54296875" style="10" bestFit="1" customWidth="1"/>
    <col min="10" max="10" width="17.54296875" style="10" bestFit="1" customWidth="1"/>
    <col min="11" max="11" width="18" bestFit="1" customWidth="1"/>
    <col min="12" max="12" width="16.81640625" bestFit="1" customWidth="1"/>
    <col min="15" max="15" width="24.08984375" customWidth="1"/>
    <col min="16" max="16" width="18" bestFit="1" customWidth="1"/>
  </cols>
  <sheetData>
    <row r="1" spans="1:16" s="2" customFormat="1" x14ac:dyDescent="0.35">
      <c r="A1" s="1" t="s">
        <v>0</v>
      </c>
      <c r="B1" s="2" t="s">
        <v>305</v>
      </c>
      <c r="C1" s="2" t="s">
        <v>306</v>
      </c>
      <c r="D1" s="2" t="s">
        <v>307</v>
      </c>
      <c r="E1" s="2" t="s">
        <v>308</v>
      </c>
      <c r="F1" s="4" t="s">
        <v>309</v>
      </c>
      <c r="G1" s="4" t="s">
        <v>310</v>
      </c>
      <c r="H1" s="7" t="s">
        <v>321</v>
      </c>
      <c r="I1" s="9" t="s">
        <v>322</v>
      </c>
      <c r="J1" s="9" t="s">
        <v>323</v>
      </c>
      <c r="K1" s="2" t="s">
        <v>324</v>
      </c>
      <c r="L1" s="2" t="s">
        <v>350</v>
      </c>
    </row>
    <row r="2" spans="1:16" x14ac:dyDescent="0.35">
      <c r="A2" s="2" t="s">
        <v>7</v>
      </c>
      <c r="B2" s="2" t="s">
        <v>311</v>
      </c>
      <c r="C2">
        <f t="shared" ref="C2:C33" ca="1" si="0">RANDBETWEEN(70,160)</f>
        <v>112</v>
      </c>
      <c r="D2">
        <f t="shared" ref="D2:D33" ca="1" si="1">RANDBETWEEN(5,50)</f>
        <v>44</v>
      </c>
      <c r="E2">
        <f t="shared" ref="E2:E33" ca="1" si="2">RANDBETWEEN(2,25)</f>
        <v>5</v>
      </c>
      <c r="F2" s="5">
        <f t="shared" ref="F2:F33" ca="1" si="3">RANDBETWEEN(1,15)</f>
        <v>7</v>
      </c>
      <c r="G2" s="6">
        <f t="shared" ref="G2:G33" ca="1" si="4">RANDBETWEEN(8000,60000)</f>
        <v>32334</v>
      </c>
      <c r="H2" s="8">
        <f ca="1">Table2[[#This Row],[Meetings]]/Table2[[#This Row],[Calls]]</f>
        <v>0.39285714285714285</v>
      </c>
      <c r="I2" s="10">
        <f ca="1">Table2[[#This Row],[Proposals]]/Table2[[#This Row],[Meetings]]</f>
        <v>0.11363636363636363</v>
      </c>
      <c r="J2" s="10">
        <f ca="1">Table2[[#This Row],[Sales]]/Table2[[#This Row],[Proposals]]</f>
        <v>1.4</v>
      </c>
      <c r="K2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2">
        <f>MONTH(DATEVALUE("1-" &amp; Table2[[#This Row],[Month]] &amp; "-2024"))</f>
        <v>1</v>
      </c>
    </row>
    <row r="3" spans="1:16" x14ac:dyDescent="0.35">
      <c r="A3" t="s">
        <v>14</v>
      </c>
      <c r="B3" t="s">
        <v>312</v>
      </c>
      <c r="C3">
        <f t="shared" ca="1" si="0"/>
        <v>129</v>
      </c>
      <c r="D3">
        <f t="shared" ca="1" si="1"/>
        <v>42</v>
      </c>
      <c r="E3">
        <f t="shared" ca="1" si="2"/>
        <v>4</v>
      </c>
      <c r="F3">
        <f t="shared" ca="1" si="3"/>
        <v>4</v>
      </c>
      <c r="G3">
        <f t="shared" ca="1" si="4"/>
        <v>30404</v>
      </c>
      <c r="H3" s="8">
        <f ca="1">Table2[[#This Row],[Meetings]]/Table2[[#This Row],[Calls]]</f>
        <v>0.32558139534883723</v>
      </c>
      <c r="I3" s="10">
        <f ca="1">Table2[[#This Row],[Proposals]]/Table2[[#This Row],[Meetings]]</f>
        <v>9.5238095238095233E-2</v>
      </c>
      <c r="J3" s="10">
        <f ca="1">Table2[[#This Row],[Sales]]/Table2[[#This Row],[Proposals]]</f>
        <v>1</v>
      </c>
      <c r="K3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3">
        <f>MONTH(DATEVALUE("1-" &amp; Table2[[#This Row],[Month]] &amp; "-2024"))</f>
        <v>2</v>
      </c>
    </row>
    <row r="4" spans="1:16" x14ac:dyDescent="0.35">
      <c r="A4" t="s">
        <v>21</v>
      </c>
      <c r="B4" t="s">
        <v>313</v>
      </c>
      <c r="C4">
        <f t="shared" ca="1" si="0"/>
        <v>91</v>
      </c>
      <c r="D4">
        <f t="shared" ca="1" si="1"/>
        <v>45</v>
      </c>
      <c r="E4">
        <f t="shared" ca="1" si="2"/>
        <v>13</v>
      </c>
      <c r="F4">
        <f t="shared" ca="1" si="3"/>
        <v>12</v>
      </c>
      <c r="G4">
        <f t="shared" ca="1" si="4"/>
        <v>21668</v>
      </c>
      <c r="H4" s="8">
        <f ca="1">Table2[[#This Row],[Meetings]]/Table2[[#This Row],[Calls]]</f>
        <v>0.49450549450549453</v>
      </c>
      <c r="I4" s="10">
        <f ca="1">Table2[[#This Row],[Proposals]]/Table2[[#This Row],[Meetings]]</f>
        <v>0.28888888888888886</v>
      </c>
      <c r="J4" s="10">
        <f ca="1">Table2[[#This Row],[Sales]]/Table2[[#This Row],[Proposals]]</f>
        <v>0.92307692307692313</v>
      </c>
      <c r="K4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4">
        <f>MONTH(DATEVALUE("1-" &amp; Table2[[#This Row],[Month]] &amp; "-2024"))</f>
        <v>3</v>
      </c>
      <c r="O4" s="1" t="s">
        <v>325</v>
      </c>
      <c r="P4" s="1" t="s">
        <v>324</v>
      </c>
    </row>
    <row r="5" spans="1:16" x14ac:dyDescent="0.35">
      <c r="A5" t="s">
        <v>24</v>
      </c>
      <c r="B5" t="s">
        <v>314</v>
      </c>
      <c r="C5">
        <f t="shared" ca="1" si="0"/>
        <v>141</v>
      </c>
      <c r="D5">
        <f t="shared" ca="1" si="1"/>
        <v>49</v>
      </c>
      <c r="E5">
        <f t="shared" ca="1" si="2"/>
        <v>11</v>
      </c>
      <c r="F5">
        <f t="shared" ca="1" si="3"/>
        <v>13</v>
      </c>
      <c r="G5">
        <f t="shared" ca="1" si="4"/>
        <v>26675</v>
      </c>
      <c r="H5" s="8">
        <f ca="1">Table2[[#This Row],[Meetings]]/Table2[[#This Row],[Calls]]</f>
        <v>0.3475177304964539</v>
      </c>
      <c r="I5" s="10">
        <f ca="1">Table2[[#This Row],[Proposals]]/Table2[[#This Row],[Meetings]]</f>
        <v>0.22448979591836735</v>
      </c>
      <c r="J5" s="10">
        <f ca="1">Table2[[#This Row],[Sales]]/Table2[[#This Row],[Proposals]]</f>
        <v>1.1818181818181819</v>
      </c>
      <c r="K5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5">
        <f>MONTH(DATEVALUE("1-" &amp; Table2[[#This Row],[Month]] &amp; "-2024"))</f>
        <v>4</v>
      </c>
      <c r="O5" s="3" t="s">
        <v>326</v>
      </c>
      <c r="P5" s="3" t="s">
        <v>327</v>
      </c>
    </row>
    <row r="6" spans="1:16" ht="17" customHeight="1" x14ac:dyDescent="0.35">
      <c r="A6" t="s">
        <v>28</v>
      </c>
      <c r="B6" t="s">
        <v>315</v>
      </c>
      <c r="C6">
        <f t="shared" ca="1" si="0"/>
        <v>158</v>
      </c>
      <c r="D6">
        <f t="shared" ca="1" si="1"/>
        <v>7</v>
      </c>
      <c r="E6">
        <f t="shared" ca="1" si="2"/>
        <v>17</v>
      </c>
      <c r="F6">
        <f t="shared" ca="1" si="3"/>
        <v>13</v>
      </c>
      <c r="G6">
        <f t="shared" ca="1" si="4"/>
        <v>58445</v>
      </c>
      <c r="H6" s="8">
        <f ca="1">Table2[[#This Row],[Meetings]]/Table2[[#This Row],[Calls]]</f>
        <v>4.4303797468354431E-2</v>
      </c>
      <c r="I6" s="10">
        <f ca="1">Table2[[#This Row],[Proposals]]/Table2[[#This Row],[Meetings]]</f>
        <v>2.4285714285714284</v>
      </c>
      <c r="J6" s="10">
        <f ca="1">Table2[[#This Row],[Sales]]/Table2[[#This Row],[Proposals]]</f>
        <v>0.76470588235294112</v>
      </c>
      <c r="K6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6">
        <f>MONTH(DATEVALUE("1-" &amp; Table2[[#This Row],[Month]] &amp; "-2024"))</f>
        <v>5</v>
      </c>
      <c r="O6" s="3" t="s">
        <v>328</v>
      </c>
      <c r="P6" s="3" t="s">
        <v>329</v>
      </c>
    </row>
    <row r="7" spans="1:16" x14ac:dyDescent="0.35">
      <c r="A7" t="s">
        <v>33</v>
      </c>
      <c r="B7" t="s">
        <v>337</v>
      </c>
      <c r="C7">
        <f t="shared" ca="1" si="0"/>
        <v>126</v>
      </c>
      <c r="D7">
        <f t="shared" ca="1" si="1"/>
        <v>26</v>
      </c>
      <c r="E7">
        <f t="shared" ca="1" si="2"/>
        <v>17</v>
      </c>
      <c r="F7">
        <f t="shared" ca="1" si="3"/>
        <v>13</v>
      </c>
      <c r="G7">
        <f t="shared" ca="1" si="4"/>
        <v>35825</v>
      </c>
      <c r="H7" s="8">
        <f ca="1">Table2[[#This Row],[Meetings]]/Table2[[#This Row],[Calls]]</f>
        <v>0.20634920634920634</v>
      </c>
      <c r="I7" s="10">
        <f ca="1">Table2[[#This Row],[Proposals]]/Table2[[#This Row],[Meetings]]</f>
        <v>0.65384615384615385</v>
      </c>
      <c r="J7" s="10">
        <f ca="1">Table2[[#This Row],[Sales]]/Table2[[#This Row],[Proposals]]</f>
        <v>0.76470588235294112</v>
      </c>
      <c r="K7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7">
        <f>MONTH(DATEVALUE("1-" &amp; Table2[[#This Row],[Month]] &amp; "-2024"))</f>
        <v>6</v>
      </c>
      <c r="O7" s="3" t="s">
        <v>330</v>
      </c>
      <c r="P7" s="3" t="s">
        <v>331</v>
      </c>
    </row>
    <row r="8" spans="1:16" x14ac:dyDescent="0.35">
      <c r="A8" t="s">
        <v>38</v>
      </c>
      <c r="B8" t="s">
        <v>338</v>
      </c>
      <c r="C8">
        <f t="shared" ca="1" si="0"/>
        <v>109</v>
      </c>
      <c r="D8">
        <f t="shared" ca="1" si="1"/>
        <v>5</v>
      </c>
      <c r="E8">
        <f t="shared" ca="1" si="2"/>
        <v>5</v>
      </c>
      <c r="F8">
        <f t="shared" ca="1" si="3"/>
        <v>1</v>
      </c>
      <c r="G8">
        <f t="shared" ca="1" si="4"/>
        <v>46672</v>
      </c>
      <c r="H8" s="8">
        <f ca="1">Table2[[#This Row],[Meetings]]/Table2[[#This Row],[Calls]]</f>
        <v>4.5871559633027525E-2</v>
      </c>
      <c r="I8" s="10">
        <f ca="1">Table2[[#This Row],[Proposals]]/Table2[[#This Row],[Meetings]]</f>
        <v>1</v>
      </c>
      <c r="J8" s="10">
        <f ca="1">Table2[[#This Row],[Sales]]/Table2[[#This Row],[Proposals]]</f>
        <v>0.2</v>
      </c>
      <c r="K8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8">
        <f>MONTH(DATEVALUE("1-" &amp; Table2[[#This Row],[Month]] &amp; "-2024"))</f>
        <v>7</v>
      </c>
      <c r="O8" s="3" t="s">
        <v>332</v>
      </c>
      <c r="P8" s="3" t="s">
        <v>333</v>
      </c>
    </row>
    <row r="9" spans="1:16" x14ac:dyDescent="0.35">
      <c r="A9" t="s">
        <v>42</v>
      </c>
      <c r="B9" t="s">
        <v>316</v>
      </c>
      <c r="C9">
        <f t="shared" ca="1" si="0"/>
        <v>148</v>
      </c>
      <c r="D9">
        <f t="shared" ca="1" si="1"/>
        <v>5</v>
      </c>
      <c r="E9">
        <f t="shared" ca="1" si="2"/>
        <v>6</v>
      </c>
      <c r="F9">
        <f t="shared" ca="1" si="3"/>
        <v>12</v>
      </c>
      <c r="G9">
        <f t="shared" ca="1" si="4"/>
        <v>8081</v>
      </c>
      <c r="H9" s="8">
        <f ca="1">Table2[[#This Row],[Meetings]]/Table2[[#This Row],[Calls]]</f>
        <v>3.3783783783783786E-2</v>
      </c>
      <c r="I9" s="10">
        <f ca="1">Table2[[#This Row],[Proposals]]/Table2[[#This Row],[Meetings]]</f>
        <v>1.2</v>
      </c>
      <c r="J9" s="10">
        <f ca="1">Table2[[#This Row],[Sales]]/Table2[[#This Row],[Proposals]]</f>
        <v>2</v>
      </c>
      <c r="K9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9">
        <f>MONTH(DATEVALUE("1-" &amp; Table2[[#This Row],[Month]] &amp; "-2024"))</f>
        <v>8</v>
      </c>
    </row>
    <row r="10" spans="1:16" x14ac:dyDescent="0.35">
      <c r="A10" t="s">
        <v>45</v>
      </c>
      <c r="B10" t="s">
        <v>317</v>
      </c>
      <c r="C10">
        <f t="shared" ca="1" si="0"/>
        <v>128</v>
      </c>
      <c r="D10">
        <f t="shared" ca="1" si="1"/>
        <v>21</v>
      </c>
      <c r="E10">
        <f t="shared" ca="1" si="2"/>
        <v>22</v>
      </c>
      <c r="F10">
        <f t="shared" ca="1" si="3"/>
        <v>14</v>
      </c>
      <c r="G10">
        <f t="shared" ca="1" si="4"/>
        <v>48804</v>
      </c>
      <c r="H10" s="8">
        <f ca="1">Table2[[#This Row],[Meetings]]/Table2[[#This Row],[Calls]]</f>
        <v>0.1640625</v>
      </c>
      <c r="I10" s="10">
        <f ca="1">Table2[[#This Row],[Proposals]]/Table2[[#This Row],[Meetings]]</f>
        <v>1.0476190476190477</v>
      </c>
      <c r="J10" s="10">
        <f ca="1">Table2[[#This Row],[Sales]]/Table2[[#This Row],[Proposals]]</f>
        <v>0.63636363636363635</v>
      </c>
      <c r="K10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10">
        <f>MONTH(DATEVALUE("1-" &amp; Table2[[#This Row],[Month]] &amp; "-2024"))</f>
        <v>9</v>
      </c>
    </row>
    <row r="11" spans="1:16" x14ac:dyDescent="0.35">
      <c r="A11" t="s">
        <v>49</v>
      </c>
      <c r="B11" t="s">
        <v>318</v>
      </c>
      <c r="C11">
        <f t="shared" ca="1" si="0"/>
        <v>78</v>
      </c>
      <c r="D11">
        <f t="shared" ca="1" si="1"/>
        <v>38</v>
      </c>
      <c r="E11">
        <f t="shared" ca="1" si="2"/>
        <v>11</v>
      </c>
      <c r="F11">
        <f t="shared" ca="1" si="3"/>
        <v>10</v>
      </c>
      <c r="G11">
        <f t="shared" ca="1" si="4"/>
        <v>35939</v>
      </c>
      <c r="H11" s="8">
        <f ca="1">Table2[[#This Row],[Meetings]]/Table2[[#This Row],[Calls]]</f>
        <v>0.48717948717948717</v>
      </c>
      <c r="I11" s="10">
        <f ca="1">Table2[[#This Row],[Proposals]]/Table2[[#This Row],[Meetings]]</f>
        <v>0.28947368421052633</v>
      </c>
      <c r="J11" s="10">
        <f ca="1">Table2[[#This Row],[Sales]]/Table2[[#This Row],[Proposals]]</f>
        <v>0.90909090909090906</v>
      </c>
      <c r="K11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11">
        <f>MONTH(DATEVALUE("1-" &amp; Table2[[#This Row],[Month]] &amp; "-2024"))</f>
        <v>10</v>
      </c>
    </row>
    <row r="12" spans="1:16" x14ac:dyDescent="0.35">
      <c r="A12" t="s">
        <v>52</v>
      </c>
      <c r="B12" t="s">
        <v>319</v>
      </c>
      <c r="C12">
        <f t="shared" ca="1" si="0"/>
        <v>94</v>
      </c>
      <c r="D12">
        <f t="shared" ca="1" si="1"/>
        <v>25</v>
      </c>
      <c r="E12">
        <f t="shared" ca="1" si="2"/>
        <v>6</v>
      </c>
      <c r="F12">
        <f t="shared" ca="1" si="3"/>
        <v>9</v>
      </c>
      <c r="G12">
        <f t="shared" ca="1" si="4"/>
        <v>47081</v>
      </c>
      <c r="H12" s="8">
        <f ca="1">Table2[[#This Row],[Meetings]]/Table2[[#This Row],[Calls]]</f>
        <v>0.26595744680851063</v>
      </c>
      <c r="I12" s="10">
        <f ca="1">Table2[[#This Row],[Proposals]]/Table2[[#This Row],[Meetings]]</f>
        <v>0.24</v>
      </c>
      <c r="J12" s="10">
        <f ca="1">Table2[[#This Row],[Sales]]/Table2[[#This Row],[Proposals]]</f>
        <v>1.5</v>
      </c>
      <c r="K12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12">
        <f>MONTH(DATEVALUE("1-" &amp; Table2[[#This Row],[Month]] &amp; "-2024"))</f>
        <v>11</v>
      </c>
    </row>
    <row r="13" spans="1:16" x14ac:dyDescent="0.35">
      <c r="A13" t="s">
        <v>54</v>
      </c>
      <c r="B13" t="s">
        <v>320</v>
      </c>
      <c r="C13">
        <f t="shared" ca="1" si="0"/>
        <v>129</v>
      </c>
      <c r="D13">
        <f t="shared" ca="1" si="1"/>
        <v>12</v>
      </c>
      <c r="E13">
        <f t="shared" ca="1" si="2"/>
        <v>3</v>
      </c>
      <c r="F13">
        <f t="shared" ca="1" si="3"/>
        <v>4</v>
      </c>
      <c r="G13">
        <f t="shared" ca="1" si="4"/>
        <v>22836</v>
      </c>
      <c r="H13" s="8">
        <f ca="1">Table2[[#This Row],[Meetings]]/Table2[[#This Row],[Calls]]</f>
        <v>9.3023255813953487E-2</v>
      </c>
      <c r="I13" s="10">
        <f ca="1">Table2[[#This Row],[Proposals]]/Table2[[#This Row],[Meetings]]</f>
        <v>0.25</v>
      </c>
      <c r="J13" s="10">
        <f ca="1">Table2[[#This Row],[Sales]]/Table2[[#This Row],[Proposals]]</f>
        <v>1.3333333333333333</v>
      </c>
      <c r="K13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13">
        <f>MONTH(DATEVALUE("1-" &amp; Table2[[#This Row],[Month]] &amp; "-2024"))</f>
        <v>12</v>
      </c>
    </row>
    <row r="14" spans="1:16" x14ac:dyDescent="0.35">
      <c r="A14" t="s">
        <v>57</v>
      </c>
      <c r="B14" t="s">
        <v>311</v>
      </c>
      <c r="C14">
        <f t="shared" ca="1" si="0"/>
        <v>86</v>
      </c>
      <c r="D14">
        <f t="shared" ca="1" si="1"/>
        <v>30</v>
      </c>
      <c r="E14">
        <f t="shared" ca="1" si="2"/>
        <v>8</v>
      </c>
      <c r="F14">
        <f t="shared" ca="1" si="3"/>
        <v>11</v>
      </c>
      <c r="G14">
        <f t="shared" ca="1" si="4"/>
        <v>38891</v>
      </c>
      <c r="H14" s="8">
        <f ca="1">Table2[[#This Row],[Meetings]]/Table2[[#This Row],[Calls]]</f>
        <v>0.34883720930232559</v>
      </c>
      <c r="I14" s="10">
        <f ca="1">Table2[[#This Row],[Proposals]]/Table2[[#This Row],[Meetings]]</f>
        <v>0.26666666666666666</v>
      </c>
      <c r="J14" s="10">
        <f ca="1">Table2[[#This Row],[Sales]]/Table2[[#This Row],[Proposals]]</f>
        <v>1.375</v>
      </c>
      <c r="K14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14">
        <f>MONTH(DATEVALUE("1-" &amp; Table2[[#This Row],[Month]] &amp; "-2024"))</f>
        <v>1</v>
      </c>
    </row>
    <row r="15" spans="1:16" x14ac:dyDescent="0.35">
      <c r="A15" t="s">
        <v>60</v>
      </c>
      <c r="B15" t="s">
        <v>312</v>
      </c>
      <c r="C15">
        <f t="shared" ca="1" si="0"/>
        <v>143</v>
      </c>
      <c r="D15">
        <f t="shared" ca="1" si="1"/>
        <v>46</v>
      </c>
      <c r="E15">
        <f t="shared" ca="1" si="2"/>
        <v>20</v>
      </c>
      <c r="F15">
        <f t="shared" ca="1" si="3"/>
        <v>7</v>
      </c>
      <c r="G15">
        <f t="shared" ca="1" si="4"/>
        <v>35797</v>
      </c>
      <c r="H15" s="8">
        <f ca="1">Table2[[#This Row],[Meetings]]/Table2[[#This Row],[Calls]]</f>
        <v>0.32167832167832167</v>
      </c>
      <c r="I15" s="10">
        <f ca="1">Table2[[#This Row],[Proposals]]/Table2[[#This Row],[Meetings]]</f>
        <v>0.43478260869565216</v>
      </c>
      <c r="J15" s="10">
        <f ca="1">Table2[[#This Row],[Sales]]/Table2[[#This Row],[Proposals]]</f>
        <v>0.35</v>
      </c>
      <c r="K15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15">
        <f>MONTH(DATEVALUE("1-" &amp; Table2[[#This Row],[Month]] &amp; "-2024"))</f>
        <v>2</v>
      </c>
    </row>
    <row r="16" spans="1:16" x14ac:dyDescent="0.35">
      <c r="A16" t="s">
        <v>64</v>
      </c>
      <c r="B16" t="s">
        <v>313</v>
      </c>
      <c r="C16">
        <f t="shared" ca="1" si="0"/>
        <v>74</v>
      </c>
      <c r="D16">
        <f t="shared" ca="1" si="1"/>
        <v>41</v>
      </c>
      <c r="E16">
        <f t="shared" ca="1" si="2"/>
        <v>14</v>
      </c>
      <c r="F16">
        <f t="shared" ca="1" si="3"/>
        <v>10</v>
      </c>
      <c r="G16">
        <f t="shared" ca="1" si="4"/>
        <v>34783</v>
      </c>
      <c r="H16" s="8">
        <f ca="1">Table2[[#This Row],[Meetings]]/Table2[[#This Row],[Calls]]</f>
        <v>0.55405405405405406</v>
      </c>
      <c r="I16" s="10">
        <f ca="1">Table2[[#This Row],[Proposals]]/Table2[[#This Row],[Meetings]]</f>
        <v>0.34146341463414637</v>
      </c>
      <c r="J16" s="10">
        <f ca="1">Table2[[#This Row],[Sales]]/Table2[[#This Row],[Proposals]]</f>
        <v>0.7142857142857143</v>
      </c>
      <c r="K16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16">
        <f>MONTH(DATEVALUE("1-" &amp; Table2[[#This Row],[Month]] &amp; "-2024"))</f>
        <v>3</v>
      </c>
    </row>
    <row r="17" spans="1:12" x14ac:dyDescent="0.35">
      <c r="A17" t="s">
        <v>67</v>
      </c>
      <c r="B17" t="s">
        <v>314</v>
      </c>
      <c r="C17">
        <f t="shared" ca="1" si="0"/>
        <v>151</v>
      </c>
      <c r="D17">
        <f t="shared" ca="1" si="1"/>
        <v>9</v>
      </c>
      <c r="E17">
        <f t="shared" ca="1" si="2"/>
        <v>10</v>
      </c>
      <c r="F17">
        <f t="shared" ca="1" si="3"/>
        <v>2</v>
      </c>
      <c r="G17">
        <f t="shared" ca="1" si="4"/>
        <v>32076</v>
      </c>
      <c r="H17" s="8">
        <f ca="1">Table2[[#This Row],[Meetings]]/Table2[[#This Row],[Calls]]</f>
        <v>5.9602649006622516E-2</v>
      </c>
      <c r="I17" s="10">
        <f ca="1">Table2[[#This Row],[Proposals]]/Table2[[#This Row],[Meetings]]</f>
        <v>1.1111111111111112</v>
      </c>
      <c r="J17" s="10">
        <f ca="1">Table2[[#This Row],[Sales]]/Table2[[#This Row],[Proposals]]</f>
        <v>0.2</v>
      </c>
      <c r="K17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17">
        <f>MONTH(DATEVALUE("1-" &amp; Table2[[#This Row],[Month]] &amp; "-2024"))</f>
        <v>4</v>
      </c>
    </row>
    <row r="18" spans="1:12" x14ac:dyDescent="0.35">
      <c r="A18" t="s">
        <v>70</v>
      </c>
      <c r="B18" t="s">
        <v>315</v>
      </c>
      <c r="C18">
        <f t="shared" ca="1" si="0"/>
        <v>139</v>
      </c>
      <c r="D18">
        <f t="shared" ca="1" si="1"/>
        <v>49</v>
      </c>
      <c r="E18">
        <f t="shared" ca="1" si="2"/>
        <v>2</v>
      </c>
      <c r="F18">
        <f t="shared" ca="1" si="3"/>
        <v>1</v>
      </c>
      <c r="G18">
        <f t="shared" ca="1" si="4"/>
        <v>13010</v>
      </c>
      <c r="H18" s="8">
        <f ca="1">Table2[[#This Row],[Meetings]]/Table2[[#This Row],[Calls]]</f>
        <v>0.35251798561151076</v>
      </c>
      <c r="I18" s="10">
        <f ca="1">Table2[[#This Row],[Proposals]]/Table2[[#This Row],[Meetings]]</f>
        <v>4.0816326530612242E-2</v>
      </c>
      <c r="J18" s="10">
        <f ca="1">Table2[[#This Row],[Sales]]/Table2[[#This Row],[Proposals]]</f>
        <v>0.5</v>
      </c>
      <c r="K18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18">
        <f>MONTH(DATEVALUE("1-" &amp; Table2[[#This Row],[Month]] &amp; "-2024"))</f>
        <v>5</v>
      </c>
    </row>
    <row r="19" spans="1:12" x14ac:dyDescent="0.35">
      <c r="A19" t="s">
        <v>73</v>
      </c>
      <c r="B19" t="s">
        <v>337</v>
      </c>
      <c r="C19">
        <f t="shared" ca="1" si="0"/>
        <v>91</v>
      </c>
      <c r="D19">
        <f t="shared" ca="1" si="1"/>
        <v>34</v>
      </c>
      <c r="E19">
        <f t="shared" ca="1" si="2"/>
        <v>21</v>
      </c>
      <c r="F19">
        <f t="shared" ca="1" si="3"/>
        <v>6</v>
      </c>
      <c r="G19">
        <f t="shared" ca="1" si="4"/>
        <v>50221</v>
      </c>
      <c r="H19" s="8">
        <f ca="1">Table2[[#This Row],[Meetings]]/Table2[[#This Row],[Calls]]</f>
        <v>0.37362637362637363</v>
      </c>
      <c r="I19" s="10">
        <f ca="1">Table2[[#This Row],[Proposals]]/Table2[[#This Row],[Meetings]]</f>
        <v>0.61764705882352944</v>
      </c>
      <c r="J19" s="10">
        <f ca="1">Table2[[#This Row],[Sales]]/Table2[[#This Row],[Proposals]]</f>
        <v>0.2857142857142857</v>
      </c>
      <c r="K19" t="str">
        <f ca="1">IF(Table2[[#This Row],[Meeting Rate]]&lt;0.2,"Poor Communication",IF(Table2[[#This Row],[Proposal Rate]]&lt;0.3,"Poor Closing",IF(Table2[[#This Row],[Sales Conversion]]&lt;0.3,"Poor Pitching","Strong Performer")))</f>
        <v>Poor Pitching</v>
      </c>
      <c r="L19">
        <f>MONTH(DATEVALUE("1-" &amp; Table2[[#This Row],[Month]] &amp; "-2024"))</f>
        <v>6</v>
      </c>
    </row>
    <row r="20" spans="1:12" x14ac:dyDescent="0.35">
      <c r="A20" t="s">
        <v>76</v>
      </c>
      <c r="B20" t="s">
        <v>338</v>
      </c>
      <c r="C20">
        <f t="shared" ca="1" si="0"/>
        <v>144</v>
      </c>
      <c r="D20">
        <f t="shared" ca="1" si="1"/>
        <v>38</v>
      </c>
      <c r="E20">
        <f t="shared" ca="1" si="2"/>
        <v>12</v>
      </c>
      <c r="F20">
        <f t="shared" ca="1" si="3"/>
        <v>8</v>
      </c>
      <c r="G20">
        <f t="shared" ca="1" si="4"/>
        <v>41589</v>
      </c>
      <c r="H20" s="8">
        <f ca="1">Table2[[#This Row],[Meetings]]/Table2[[#This Row],[Calls]]</f>
        <v>0.2638888888888889</v>
      </c>
      <c r="I20" s="10">
        <f ca="1">Table2[[#This Row],[Proposals]]/Table2[[#This Row],[Meetings]]</f>
        <v>0.31578947368421051</v>
      </c>
      <c r="J20" s="10">
        <f ca="1">Table2[[#This Row],[Sales]]/Table2[[#This Row],[Proposals]]</f>
        <v>0.66666666666666663</v>
      </c>
      <c r="K20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20">
        <f>MONTH(DATEVALUE("1-" &amp; Table2[[#This Row],[Month]] &amp; "-2024"))</f>
        <v>7</v>
      </c>
    </row>
    <row r="21" spans="1:12" x14ac:dyDescent="0.35">
      <c r="A21" t="s">
        <v>79</v>
      </c>
      <c r="B21" t="s">
        <v>316</v>
      </c>
      <c r="C21">
        <f t="shared" ca="1" si="0"/>
        <v>84</v>
      </c>
      <c r="D21">
        <f t="shared" ca="1" si="1"/>
        <v>10</v>
      </c>
      <c r="E21">
        <f t="shared" ca="1" si="2"/>
        <v>16</v>
      </c>
      <c r="F21">
        <f t="shared" ca="1" si="3"/>
        <v>5</v>
      </c>
      <c r="G21">
        <f t="shared" ca="1" si="4"/>
        <v>45421</v>
      </c>
      <c r="H21" s="8">
        <f ca="1">Table2[[#This Row],[Meetings]]/Table2[[#This Row],[Calls]]</f>
        <v>0.11904761904761904</v>
      </c>
      <c r="I21" s="10">
        <f ca="1">Table2[[#This Row],[Proposals]]/Table2[[#This Row],[Meetings]]</f>
        <v>1.6</v>
      </c>
      <c r="J21" s="10">
        <f ca="1">Table2[[#This Row],[Sales]]/Table2[[#This Row],[Proposals]]</f>
        <v>0.3125</v>
      </c>
      <c r="K21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21">
        <f>MONTH(DATEVALUE("1-" &amp; Table2[[#This Row],[Month]] &amp; "-2024"))</f>
        <v>8</v>
      </c>
    </row>
    <row r="22" spans="1:12" x14ac:dyDescent="0.35">
      <c r="A22" t="s">
        <v>81</v>
      </c>
      <c r="B22" t="s">
        <v>317</v>
      </c>
      <c r="C22">
        <f t="shared" ca="1" si="0"/>
        <v>99</v>
      </c>
      <c r="D22">
        <f t="shared" ca="1" si="1"/>
        <v>20</v>
      </c>
      <c r="E22">
        <f t="shared" ca="1" si="2"/>
        <v>16</v>
      </c>
      <c r="F22">
        <f t="shared" ca="1" si="3"/>
        <v>2</v>
      </c>
      <c r="G22">
        <f t="shared" ca="1" si="4"/>
        <v>34818</v>
      </c>
      <c r="H22" s="8">
        <f ca="1">Table2[[#This Row],[Meetings]]/Table2[[#This Row],[Calls]]</f>
        <v>0.20202020202020202</v>
      </c>
      <c r="I22" s="10">
        <f ca="1">Table2[[#This Row],[Proposals]]/Table2[[#This Row],[Meetings]]</f>
        <v>0.8</v>
      </c>
      <c r="J22" s="10">
        <f ca="1">Table2[[#This Row],[Sales]]/Table2[[#This Row],[Proposals]]</f>
        <v>0.125</v>
      </c>
      <c r="K22" t="str">
        <f ca="1">IF(Table2[[#This Row],[Meeting Rate]]&lt;0.2,"Poor Communication",IF(Table2[[#This Row],[Proposal Rate]]&lt;0.3,"Poor Closing",IF(Table2[[#This Row],[Sales Conversion]]&lt;0.3,"Poor Pitching","Strong Performer")))</f>
        <v>Poor Pitching</v>
      </c>
      <c r="L22">
        <f>MONTH(DATEVALUE("1-" &amp; Table2[[#This Row],[Month]] &amp; "-2024"))</f>
        <v>9</v>
      </c>
    </row>
    <row r="23" spans="1:12" x14ac:dyDescent="0.35">
      <c r="A23" t="s">
        <v>84</v>
      </c>
      <c r="B23" t="s">
        <v>318</v>
      </c>
      <c r="C23">
        <f t="shared" ca="1" si="0"/>
        <v>75</v>
      </c>
      <c r="D23">
        <f t="shared" ca="1" si="1"/>
        <v>48</v>
      </c>
      <c r="E23">
        <f t="shared" ca="1" si="2"/>
        <v>17</v>
      </c>
      <c r="F23">
        <f t="shared" ca="1" si="3"/>
        <v>11</v>
      </c>
      <c r="G23">
        <f t="shared" ca="1" si="4"/>
        <v>16371</v>
      </c>
      <c r="H23" s="8">
        <f ca="1">Table2[[#This Row],[Meetings]]/Table2[[#This Row],[Calls]]</f>
        <v>0.64</v>
      </c>
      <c r="I23" s="10">
        <f ca="1">Table2[[#This Row],[Proposals]]/Table2[[#This Row],[Meetings]]</f>
        <v>0.35416666666666669</v>
      </c>
      <c r="J23" s="10">
        <f ca="1">Table2[[#This Row],[Sales]]/Table2[[#This Row],[Proposals]]</f>
        <v>0.6470588235294118</v>
      </c>
      <c r="K23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23">
        <f>MONTH(DATEVALUE("1-" &amp; Table2[[#This Row],[Month]] &amp; "-2024"))</f>
        <v>10</v>
      </c>
    </row>
    <row r="24" spans="1:12" x14ac:dyDescent="0.35">
      <c r="A24" t="s">
        <v>86</v>
      </c>
      <c r="B24" t="s">
        <v>319</v>
      </c>
      <c r="C24">
        <f t="shared" ca="1" si="0"/>
        <v>112</v>
      </c>
      <c r="D24">
        <f t="shared" ca="1" si="1"/>
        <v>15</v>
      </c>
      <c r="E24">
        <f t="shared" ca="1" si="2"/>
        <v>8</v>
      </c>
      <c r="F24">
        <f t="shared" ca="1" si="3"/>
        <v>14</v>
      </c>
      <c r="G24">
        <f t="shared" ca="1" si="4"/>
        <v>22761</v>
      </c>
      <c r="H24" s="8">
        <f ca="1">Table2[[#This Row],[Meetings]]/Table2[[#This Row],[Calls]]</f>
        <v>0.13392857142857142</v>
      </c>
      <c r="I24" s="10">
        <f ca="1">Table2[[#This Row],[Proposals]]/Table2[[#This Row],[Meetings]]</f>
        <v>0.53333333333333333</v>
      </c>
      <c r="J24" s="10">
        <f ca="1">Table2[[#This Row],[Sales]]/Table2[[#This Row],[Proposals]]</f>
        <v>1.75</v>
      </c>
      <c r="K24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24">
        <f>MONTH(DATEVALUE("1-" &amp; Table2[[#This Row],[Month]] &amp; "-2024"))</f>
        <v>11</v>
      </c>
    </row>
    <row r="25" spans="1:12" x14ac:dyDescent="0.35">
      <c r="A25" t="s">
        <v>88</v>
      </c>
      <c r="B25" t="s">
        <v>320</v>
      </c>
      <c r="C25">
        <f t="shared" ca="1" si="0"/>
        <v>94</v>
      </c>
      <c r="D25">
        <f t="shared" ca="1" si="1"/>
        <v>42</v>
      </c>
      <c r="E25">
        <f t="shared" ca="1" si="2"/>
        <v>6</v>
      </c>
      <c r="F25">
        <f t="shared" ca="1" si="3"/>
        <v>5</v>
      </c>
      <c r="G25">
        <f t="shared" ca="1" si="4"/>
        <v>41152</v>
      </c>
      <c r="H25" s="8">
        <f ca="1">Table2[[#This Row],[Meetings]]/Table2[[#This Row],[Calls]]</f>
        <v>0.44680851063829785</v>
      </c>
      <c r="I25" s="10">
        <f ca="1">Table2[[#This Row],[Proposals]]/Table2[[#This Row],[Meetings]]</f>
        <v>0.14285714285714285</v>
      </c>
      <c r="J25" s="10">
        <f ca="1">Table2[[#This Row],[Sales]]/Table2[[#This Row],[Proposals]]</f>
        <v>0.83333333333333337</v>
      </c>
      <c r="K25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25">
        <f>MONTH(DATEVALUE("1-" &amp; Table2[[#This Row],[Month]] &amp; "-2024"))</f>
        <v>12</v>
      </c>
    </row>
    <row r="26" spans="1:12" x14ac:dyDescent="0.35">
      <c r="A26" t="s">
        <v>90</v>
      </c>
      <c r="B26" t="s">
        <v>311</v>
      </c>
      <c r="C26">
        <f t="shared" ca="1" si="0"/>
        <v>92</v>
      </c>
      <c r="D26">
        <f t="shared" ca="1" si="1"/>
        <v>23</v>
      </c>
      <c r="E26">
        <f t="shared" ca="1" si="2"/>
        <v>5</v>
      </c>
      <c r="F26">
        <f t="shared" ca="1" si="3"/>
        <v>4</v>
      </c>
      <c r="G26">
        <f t="shared" ca="1" si="4"/>
        <v>42756</v>
      </c>
      <c r="H26" s="8">
        <f ca="1">Table2[[#This Row],[Meetings]]/Table2[[#This Row],[Calls]]</f>
        <v>0.25</v>
      </c>
      <c r="I26" s="10">
        <f ca="1">Table2[[#This Row],[Proposals]]/Table2[[#This Row],[Meetings]]</f>
        <v>0.21739130434782608</v>
      </c>
      <c r="J26" s="10">
        <f ca="1">Table2[[#This Row],[Sales]]/Table2[[#This Row],[Proposals]]</f>
        <v>0.8</v>
      </c>
      <c r="K26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26">
        <f>MONTH(DATEVALUE("1-" &amp; Table2[[#This Row],[Month]] &amp; "-2024"))</f>
        <v>1</v>
      </c>
    </row>
    <row r="27" spans="1:12" x14ac:dyDescent="0.35">
      <c r="A27" t="s">
        <v>92</v>
      </c>
      <c r="B27" t="s">
        <v>312</v>
      </c>
      <c r="C27">
        <f t="shared" ca="1" si="0"/>
        <v>97</v>
      </c>
      <c r="D27">
        <f t="shared" ca="1" si="1"/>
        <v>13</v>
      </c>
      <c r="E27">
        <f t="shared" ca="1" si="2"/>
        <v>13</v>
      </c>
      <c r="F27">
        <f t="shared" ca="1" si="3"/>
        <v>8</v>
      </c>
      <c r="G27">
        <f t="shared" ca="1" si="4"/>
        <v>29670</v>
      </c>
      <c r="H27" s="8">
        <f ca="1">Table2[[#This Row],[Meetings]]/Table2[[#This Row],[Calls]]</f>
        <v>0.13402061855670103</v>
      </c>
      <c r="I27" s="10">
        <f ca="1">Table2[[#This Row],[Proposals]]/Table2[[#This Row],[Meetings]]</f>
        <v>1</v>
      </c>
      <c r="J27" s="10">
        <f ca="1">Table2[[#This Row],[Sales]]/Table2[[#This Row],[Proposals]]</f>
        <v>0.61538461538461542</v>
      </c>
      <c r="K27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27">
        <f>MONTH(DATEVALUE("1-" &amp; Table2[[#This Row],[Month]] &amp; "-2024"))</f>
        <v>2</v>
      </c>
    </row>
    <row r="28" spans="1:12" x14ac:dyDescent="0.35">
      <c r="A28" t="s">
        <v>94</v>
      </c>
      <c r="B28" t="s">
        <v>313</v>
      </c>
      <c r="C28">
        <f t="shared" ca="1" si="0"/>
        <v>96</v>
      </c>
      <c r="D28">
        <f t="shared" ca="1" si="1"/>
        <v>9</v>
      </c>
      <c r="E28">
        <f t="shared" ca="1" si="2"/>
        <v>8</v>
      </c>
      <c r="F28">
        <f t="shared" ca="1" si="3"/>
        <v>12</v>
      </c>
      <c r="G28">
        <f t="shared" ca="1" si="4"/>
        <v>19170</v>
      </c>
      <c r="H28" s="8">
        <f ca="1">Table2[[#This Row],[Meetings]]/Table2[[#This Row],[Calls]]</f>
        <v>9.375E-2</v>
      </c>
      <c r="I28" s="10">
        <f ca="1">Table2[[#This Row],[Proposals]]/Table2[[#This Row],[Meetings]]</f>
        <v>0.88888888888888884</v>
      </c>
      <c r="J28" s="10">
        <f ca="1">Table2[[#This Row],[Sales]]/Table2[[#This Row],[Proposals]]</f>
        <v>1.5</v>
      </c>
      <c r="K28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28">
        <f>MONTH(DATEVALUE("1-" &amp; Table2[[#This Row],[Month]] &amp; "-2024"))</f>
        <v>3</v>
      </c>
    </row>
    <row r="29" spans="1:12" x14ac:dyDescent="0.35">
      <c r="A29" t="s">
        <v>96</v>
      </c>
      <c r="B29" t="s">
        <v>314</v>
      </c>
      <c r="C29">
        <f t="shared" ca="1" si="0"/>
        <v>91</v>
      </c>
      <c r="D29">
        <f t="shared" ca="1" si="1"/>
        <v>21</v>
      </c>
      <c r="E29">
        <f t="shared" ca="1" si="2"/>
        <v>21</v>
      </c>
      <c r="F29">
        <f t="shared" ca="1" si="3"/>
        <v>13</v>
      </c>
      <c r="G29">
        <f t="shared" ca="1" si="4"/>
        <v>33404</v>
      </c>
      <c r="H29" s="8">
        <f ca="1">Table2[[#This Row],[Meetings]]/Table2[[#This Row],[Calls]]</f>
        <v>0.23076923076923078</v>
      </c>
      <c r="I29" s="10">
        <f ca="1">Table2[[#This Row],[Proposals]]/Table2[[#This Row],[Meetings]]</f>
        <v>1</v>
      </c>
      <c r="J29" s="10">
        <f ca="1">Table2[[#This Row],[Sales]]/Table2[[#This Row],[Proposals]]</f>
        <v>0.61904761904761907</v>
      </c>
      <c r="K29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29">
        <f>MONTH(DATEVALUE("1-" &amp; Table2[[#This Row],[Month]] &amp; "-2024"))</f>
        <v>4</v>
      </c>
    </row>
    <row r="30" spans="1:12" x14ac:dyDescent="0.35">
      <c r="A30" t="s">
        <v>98</v>
      </c>
      <c r="B30" t="s">
        <v>315</v>
      </c>
      <c r="C30">
        <f t="shared" ca="1" si="0"/>
        <v>72</v>
      </c>
      <c r="D30">
        <f t="shared" ca="1" si="1"/>
        <v>27</v>
      </c>
      <c r="E30">
        <f t="shared" ca="1" si="2"/>
        <v>15</v>
      </c>
      <c r="F30">
        <f t="shared" ca="1" si="3"/>
        <v>3</v>
      </c>
      <c r="G30">
        <f t="shared" ca="1" si="4"/>
        <v>38836</v>
      </c>
      <c r="H30" s="8">
        <f ca="1">Table2[[#This Row],[Meetings]]/Table2[[#This Row],[Calls]]</f>
        <v>0.375</v>
      </c>
      <c r="I30" s="10">
        <f ca="1">Table2[[#This Row],[Proposals]]/Table2[[#This Row],[Meetings]]</f>
        <v>0.55555555555555558</v>
      </c>
      <c r="J30" s="10">
        <f ca="1">Table2[[#This Row],[Sales]]/Table2[[#This Row],[Proposals]]</f>
        <v>0.2</v>
      </c>
      <c r="K30" t="str">
        <f ca="1">IF(Table2[[#This Row],[Meeting Rate]]&lt;0.2,"Poor Communication",IF(Table2[[#This Row],[Proposal Rate]]&lt;0.3,"Poor Closing",IF(Table2[[#This Row],[Sales Conversion]]&lt;0.3,"Poor Pitching","Strong Performer")))</f>
        <v>Poor Pitching</v>
      </c>
      <c r="L30">
        <f>MONTH(DATEVALUE("1-" &amp; Table2[[#This Row],[Month]] &amp; "-2024"))</f>
        <v>5</v>
      </c>
    </row>
    <row r="31" spans="1:12" x14ac:dyDescent="0.35">
      <c r="A31" t="s">
        <v>100</v>
      </c>
      <c r="B31" t="s">
        <v>337</v>
      </c>
      <c r="C31">
        <f t="shared" ca="1" si="0"/>
        <v>80</v>
      </c>
      <c r="D31">
        <f t="shared" ca="1" si="1"/>
        <v>31</v>
      </c>
      <c r="E31">
        <f t="shared" ca="1" si="2"/>
        <v>17</v>
      </c>
      <c r="F31">
        <f t="shared" ca="1" si="3"/>
        <v>1</v>
      </c>
      <c r="G31">
        <f t="shared" ca="1" si="4"/>
        <v>39801</v>
      </c>
      <c r="H31" s="8">
        <f ca="1">Table2[[#This Row],[Meetings]]/Table2[[#This Row],[Calls]]</f>
        <v>0.38750000000000001</v>
      </c>
      <c r="I31" s="10">
        <f ca="1">Table2[[#This Row],[Proposals]]/Table2[[#This Row],[Meetings]]</f>
        <v>0.54838709677419351</v>
      </c>
      <c r="J31" s="10">
        <f ca="1">Table2[[#This Row],[Sales]]/Table2[[#This Row],[Proposals]]</f>
        <v>5.8823529411764705E-2</v>
      </c>
      <c r="K31" t="str">
        <f ca="1">IF(Table2[[#This Row],[Meeting Rate]]&lt;0.2,"Poor Communication",IF(Table2[[#This Row],[Proposal Rate]]&lt;0.3,"Poor Closing",IF(Table2[[#This Row],[Sales Conversion]]&lt;0.3,"Poor Pitching","Strong Performer")))</f>
        <v>Poor Pitching</v>
      </c>
      <c r="L31">
        <f>MONTH(DATEVALUE("1-" &amp; Table2[[#This Row],[Month]] &amp; "-2024"))</f>
        <v>6</v>
      </c>
    </row>
    <row r="32" spans="1:12" x14ac:dyDescent="0.35">
      <c r="A32" t="s">
        <v>7</v>
      </c>
      <c r="B32" t="s">
        <v>338</v>
      </c>
      <c r="C32">
        <f t="shared" ca="1" si="0"/>
        <v>115</v>
      </c>
      <c r="D32">
        <f t="shared" ca="1" si="1"/>
        <v>10</v>
      </c>
      <c r="E32">
        <f t="shared" ca="1" si="2"/>
        <v>15</v>
      </c>
      <c r="F32">
        <f t="shared" ca="1" si="3"/>
        <v>8</v>
      </c>
      <c r="G32">
        <f t="shared" ca="1" si="4"/>
        <v>9057</v>
      </c>
      <c r="H32" s="8">
        <f ca="1">Table2[[#This Row],[Meetings]]/Table2[[#This Row],[Calls]]</f>
        <v>8.6956521739130432E-2</v>
      </c>
      <c r="I32" s="10">
        <f ca="1">Table2[[#This Row],[Proposals]]/Table2[[#This Row],[Meetings]]</f>
        <v>1.5</v>
      </c>
      <c r="J32" s="10">
        <f ca="1">Table2[[#This Row],[Sales]]/Table2[[#This Row],[Proposals]]</f>
        <v>0.53333333333333333</v>
      </c>
      <c r="K32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32">
        <f>MONTH(DATEVALUE("1-" &amp; Table2[[#This Row],[Month]] &amp; "-2024"))</f>
        <v>7</v>
      </c>
    </row>
    <row r="33" spans="1:12" x14ac:dyDescent="0.35">
      <c r="A33" t="s">
        <v>14</v>
      </c>
      <c r="B33" t="s">
        <v>316</v>
      </c>
      <c r="C33">
        <f t="shared" ca="1" si="0"/>
        <v>77</v>
      </c>
      <c r="D33">
        <f t="shared" ca="1" si="1"/>
        <v>35</v>
      </c>
      <c r="E33">
        <f t="shared" ca="1" si="2"/>
        <v>21</v>
      </c>
      <c r="F33">
        <f t="shared" ca="1" si="3"/>
        <v>6</v>
      </c>
      <c r="G33">
        <f t="shared" ca="1" si="4"/>
        <v>32697</v>
      </c>
      <c r="H33" s="8">
        <f ca="1">Table2[[#This Row],[Meetings]]/Table2[[#This Row],[Calls]]</f>
        <v>0.45454545454545453</v>
      </c>
      <c r="I33" s="10">
        <f ca="1">Table2[[#This Row],[Proposals]]/Table2[[#This Row],[Meetings]]</f>
        <v>0.6</v>
      </c>
      <c r="J33" s="10">
        <f ca="1">Table2[[#This Row],[Sales]]/Table2[[#This Row],[Proposals]]</f>
        <v>0.2857142857142857</v>
      </c>
      <c r="K33" t="str">
        <f ca="1">IF(Table2[[#This Row],[Meeting Rate]]&lt;0.2,"Poor Communication",IF(Table2[[#This Row],[Proposal Rate]]&lt;0.3,"Poor Closing",IF(Table2[[#This Row],[Sales Conversion]]&lt;0.3,"Poor Pitching","Strong Performer")))</f>
        <v>Poor Pitching</v>
      </c>
      <c r="L33">
        <f>MONTH(DATEVALUE("1-" &amp; Table2[[#This Row],[Month]] &amp; "-2024"))</f>
        <v>8</v>
      </c>
    </row>
    <row r="34" spans="1:12" x14ac:dyDescent="0.35">
      <c r="A34" t="s">
        <v>21</v>
      </c>
      <c r="B34" t="s">
        <v>317</v>
      </c>
      <c r="C34">
        <f t="shared" ref="C34:C65" ca="1" si="5">RANDBETWEEN(70,160)</f>
        <v>96</v>
      </c>
      <c r="D34">
        <f t="shared" ref="D34:D65" ca="1" si="6">RANDBETWEEN(5,50)</f>
        <v>42</v>
      </c>
      <c r="E34">
        <f t="shared" ref="E34:E65" ca="1" si="7">RANDBETWEEN(2,25)</f>
        <v>25</v>
      </c>
      <c r="F34">
        <f t="shared" ref="F34:F65" ca="1" si="8">RANDBETWEEN(1,15)</f>
        <v>7</v>
      </c>
      <c r="G34">
        <f t="shared" ref="G34:G65" ca="1" si="9">RANDBETWEEN(8000,60000)</f>
        <v>20053</v>
      </c>
      <c r="H34" s="8">
        <f ca="1">Table2[[#This Row],[Meetings]]/Table2[[#This Row],[Calls]]</f>
        <v>0.4375</v>
      </c>
      <c r="I34" s="10">
        <f ca="1">Table2[[#This Row],[Proposals]]/Table2[[#This Row],[Meetings]]</f>
        <v>0.59523809523809523</v>
      </c>
      <c r="J34" s="10">
        <f ca="1">Table2[[#This Row],[Sales]]/Table2[[#This Row],[Proposals]]</f>
        <v>0.28000000000000003</v>
      </c>
      <c r="K34" t="str">
        <f ca="1">IF(Table2[[#This Row],[Meeting Rate]]&lt;0.2,"Poor Communication",IF(Table2[[#This Row],[Proposal Rate]]&lt;0.3,"Poor Closing",IF(Table2[[#This Row],[Sales Conversion]]&lt;0.3,"Poor Pitching","Strong Performer")))</f>
        <v>Poor Pitching</v>
      </c>
      <c r="L34">
        <f>MONTH(DATEVALUE("1-" &amp; Table2[[#This Row],[Month]] &amp; "-2024"))</f>
        <v>9</v>
      </c>
    </row>
    <row r="35" spans="1:12" x14ac:dyDescent="0.35">
      <c r="A35" t="s">
        <v>24</v>
      </c>
      <c r="B35" t="s">
        <v>318</v>
      </c>
      <c r="C35">
        <f t="shared" ca="1" si="5"/>
        <v>136</v>
      </c>
      <c r="D35">
        <f t="shared" ca="1" si="6"/>
        <v>8</v>
      </c>
      <c r="E35">
        <f t="shared" ca="1" si="7"/>
        <v>24</v>
      </c>
      <c r="F35">
        <f t="shared" ca="1" si="8"/>
        <v>1</v>
      </c>
      <c r="G35">
        <f t="shared" ca="1" si="9"/>
        <v>20442</v>
      </c>
      <c r="H35" s="8">
        <f ca="1">Table2[[#This Row],[Meetings]]/Table2[[#This Row],[Calls]]</f>
        <v>5.8823529411764705E-2</v>
      </c>
      <c r="I35" s="10">
        <f ca="1">Table2[[#This Row],[Proposals]]/Table2[[#This Row],[Meetings]]</f>
        <v>3</v>
      </c>
      <c r="J35" s="10">
        <f ca="1">Table2[[#This Row],[Sales]]/Table2[[#This Row],[Proposals]]</f>
        <v>4.1666666666666664E-2</v>
      </c>
      <c r="K35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35">
        <f>MONTH(DATEVALUE("1-" &amp; Table2[[#This Row],[Month]] &amp; "-2024"))</f>
        <v>10</v>
      </c>
    </row>
    <row r="36" spans="1:12" x14ac:dyDescent="0.35">
      <c r="A36" t="s">
        <v>28</v>
      </c>
      <c r="B36" t="s">
        <v>319</v>
      </c>
      <c r="C36">
        <f t="shared" ca="1" si="5"/>
        <v>158</v>
      </c>
      <c r="D36">
        <f t="shared" ca="1" si="6"/>
        <v>8</v>
      </c>
      <c r="E36">
        <f t="shared" ca="1" si="7"/>
        <v>14</v>
      </c>
      <c r="F36">
        <f t="shared" ca="1" si="8"/>
        <v>8</v>
      </c>
      <c r="G36">
        <f t="shared" ca="1" si="9"/>
        <v>18893</v>
      </c>
      <c r="H36" s="8">
        <f ca="1">Table2[[#This Row],[Meetings]]/Table2[[#This Row],[Calls]]</f>
        <v>5.0632911392405063E-2</v>
      </c>
      <c r="I36" s="10">
        <f ca="1">Table2[[#This Row],[Proposals]]/Table2[[#This Row],[Meetings]]</f>
        <v>1.75</v>
      </c>
      <c r="J36" s="10">
        <f ca="1">Table2[[#This Row],[Sales]]/Table2[[#This Row],[Proposals]]</f>
        <v>0.5714285714285714</v>
      </c>
      <c r="K36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36">
        <f>MONTH(DATEVALUE("1-" &amp; Table2[[#This Row],[Month]] &amp; "-2024"))</f>
        <v>11</v>
      </c>
    </row>
    <row r="37" spans="1:12" x14ac:dyDescent="0.35">
      <c r="A37" t="s">
        <v>33</v>
      </c>
      <c r="B37" t="s">
        <v>320</v>
      </c>
      <c r="C37">
        <f t="shared" ca="1" si="5"/>
        <v>130</v>
      </c>
      <c r="D37">
        <f t="shared" ca="1" si="6"/>
        <v>21</v>
      </c>
      <c r="E37">
        <f t="shared" ca="1" si="7"/>
        <v>17</v>
      </c>
      <c r="F37">
        <f t="shared" ca="1" si="8"/>
        <v>7</v>
      </c>
      <c r="G37">
        <f t="shared" ca="1" si="9"/>
        <v>25406</v>
      </c>
      <c r="H37" s="8">
        <f ca="1">Table2[[#This Row],[Meetings]]/Table2[[#This Row],[Calls]]</f>
        <v>0.16153846153846155</v>
      </c>
      <c r="I37" s="10">
        <f ca="1">Table2[[#This Row],[Proposals]]/Table2[[#This Row],[Meetings]]</f>
        <v>0.80952380952380953</v>
      </c>
      <c r="J37" s="10">
        <f ca="1">Table2[[#This Row],[Sales]]/Table2[[#This Row],[Proposals]]</f>
        <v>0.41176470588235292</v>
      </c>
      <c r="K37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37">
        <f>MONTH(DATEVALUE("1-" &amp; Table2[[#This Row],[Month]] &amp; "-2024"))</f>
        <v>12</v>
      </c>
    </row>
    <row r="38" spans="1:12" x14ac:dyDescent="0.35">
      <c r="A38" t="s">
        <v>38</v>
      </c>
      <c r="B38" t="s">
        <v>311</v>
      </c>
      <c r="C38">
        <f t="shared" ca="1" si="5"/>
        <v>152</v>
      </c>
      <c r="D38">
        <f t="shared" ca="1" si="6"/>
        <v>50</v>
      </c>
      <c r="E38">
        <f t="shared" ca="1" si="7"/>
        <v>5</v>
      </c>
      <c r="F38">
        <f t="shared" ca="1" si="8"/>
        <v>4</v>
      </c>
      <c r="G38">
        <f t="shared" ca="1" si="9"/>
        <v>38600</v>
      </c>
      <c r="H38" s="8">
        <f ca="1">Table2[[#This Row],[Meetings]]/Table2[[#This Row],[Calls]]</f>
        <v>0.32894736842105265</v>
      </c>
      <c r="I38" s="10">
        <f ca="1">Table2[[#This Row],[Proposals]]/Table2[[#This Row],[Meetings]]</f>
        <v>0.1</v>
      </c>
      <c r="J38" s="10">
        <f ca="1">Table2[[#This Row],[Sales]]/Table2[[#This Row],[Proposals]]</f>
        <v>0.8</v>
      </c>
      <c r="K38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38">
        <f>MONTH(DATEVALUE("1-" &amp; Table2[[#This Row],[Month]] &amp; "-2024"))</f>
        <v>1</v>
      </c>
    </row>
    <row r="39" spans="1:12" x14ac:dyDescent="0.35">
      <c r="A39" t="s">
        <v>42</v>
      </c>
      <c r="B39" t="s">
        <v>312</v>
      </c>
      <c r="C39">
        <f t="shared" ca="1" si="5"/>
        <v>138</v>
      </c>
      <c r="D39">
        <f t="shared" ca="1" si="6"/>
        <v>44</v>
      </c>
      <c r="E39">
        <f t="shared" ca="1" si="7"/>
        <v>12</v>
      </c>
      <c r="F39">
        <f t="shared" ca="1" si="8"/>
        <v>7</v>
      </c>
      <c r="G39">
        <f t="shared" ca="1" si="9"/>
        <v>17265</v>
      </c>
      <c r="H39" s="8">
        <f ca="1">Table2[[#This Row],[Meetings]]/Table2[[#This Row],[Calls]]</f>
        <v>0.3188405797101449</v>
      </c>
      <c r="I39" s="10">
        <f ca="1">Table2[[#This Row],[Proposals]]/Table2[[#This Row],[Meetings]]</f>
        <v>0.27272727272727271</v>
      </c>
      <c r="J39" s="10">
        <f ca="1">Table2[[#This Row],[Sales]]/Table2[[#This Row],[Proposals]]</f>
        <v>0.58333333333333337</v>
      </c>
      <c r="K39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39">
        <f>MONTH(DATEVALUE("1-" &amp; Table2[[#This Row],[Month]] &amp; "-2024"))</f>
        <v>2</v>
      </c>
    </row>
    <row r="40" spans="1:12" x14ac:dyDescent="0.35">
      <c r="A40" t="s">
        <v>45</v>
      </c>
      <c r="B40" t="s">
        <v>313</v>
      </c>
      <c r="C40">
        <f t="shared" ca="1" si="5"/>
        <v>154</v>
      </c>
      <c r="D40">
        <f t="shared" ca="1" si="6"/>
        <v>5</v>
      </c>
      <c r="E40">
        <f t="shared" ca="1" si="7"/>
        <v>23</v>
      </c>
      <c r="F40">
        <f t="shared" ca="1" si="8"/>
        <v>6</v>
      </c>
      <c r="G40">
        <f t="shared" ca="1" si="9"/>
        <v>22835</v>
      </c>
      <c r="H40" s="8">
        <f ca="1">Table2[[#This Row],[Meetings]]/Table2[[#This Row],[Calls]]</f>
        <v>3.2467532467532464E-2</v>
      </c>
      <c r="I40" s="10">
        <f ca="1">Table2[[#This Row],[Proposals]]/Table2[[#This Row],[Meetings]]</f>
        <v>4.5999999999999996</v>
      </c>
      <c r="J40" s="10">
        <f ca="1">Table2[[#This Row],[Sales]]/Table2[[#This Row],[Proposals]]</f>
        <v>0.2608695652173913</v>
      </c>
      <c r="K40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40">
        <f>MONTH(DATEVALUE("1-" &amp; Table2[[#This Row],[Month]] &amp; "-2024"))</f>
        <v>3</v>
      </c>
    </row>
    <row r="41" spans="1:12" x14ac:dyDescent="0.35">
      <c r="A41" t="s">
        <v>49</v>
      </c>
      <c r="B41" t="s">
        <v>314</v>
      </c>
      <c r="C41">
        <f t="shared" ca="1" si="5"/>
        <v>100</v>
      </c>
      <c r="D41">
        <f t="shared" ca="1" si="6"/>
        <v>9</v>
      </c>
      <c r="E41">
        <f t="shared" ca="1" si="7"/>
        <v>16</v>
      </c>
      <c r="F41">
        <f t="shared" ca="1" si="8"/>
        <v>15</v>
      </c>
      <c r="G41">
        <f t="shared" ca="1" si="9"/>
        <v>25987</v>
      </c>
      <c r="H41" s="8">
        <f ca="1">Table2[[#This Row],[Meetings]]/Table2[[#This Row],[Calls]]</f>
        <v>0.09</v>
      </c>
      <c r="I41" s="10">
        <f ca="1">Table2[[#This Row],[Proposals]]/Table2[[#This Row],[Meetings]]</f>
        <v>1.7777777777777777</v>
      </c>
      <c r="J41" s="10">
        <f ca="1">Table2[[#This Row],[Sales]]/Table2[[#This Row],[Proposals]]</f>
        <v>0.9375</v>
      </c>
      <c r="K41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41">
        <f>MONTH(DATEVALUE("1-" &amp; Table2[[#This Row],[Month]] &amp; "-2024"))</f>
        <v>4</v>
      </c>
    </row>
    <row r="42" spans="1:12" x14ac:dyDescent="0.35">
      <c r="A42" t="s">
        <v>52</v>
      </c>
      <c r="B42" t="s">
        <v>315</v>
      </c>
      <c r="C42">
        <f t="shared" ca="1" si="5"/>
        <v>114</v>
      </c>
      <c r="D42">
        <f t="shared" ca="1" si="6"/>
        <v>20</v>
      </c>
      <c r="E42">
        <f t="shared" ca="1" si="7"/>
        <v>16</v>
      </c>
      <c r="F42">
        <f t="shared" ca="1" si="8"/>
        <v>6</v>
      </c>
      <c r="G42">
        <f t="shared" ca="1" si="9"/>
        <v>21898</v>
      </c>
      <c r="H42" s="8">
        <f ca="1">Table2[[#This Row],[Meetings]]/Table2[[#This Row],[Calls]]</f>
        <v>0.17543859649122806</v>
      </c>
      <c r="I42" s="10">
        <f ca="1">Table2[[#This Row],[Proposals]]/Table2[[#This Row],[Meetings]]</f>
        <v>0.8</v>
      </c>
      <c r="J42" s="10">
        <f ca="1">Table2[[#This Row],[Sales]]/Table2[[#This Row],[Proposals]]</f>
        <v>0.375</v>
      </c>
      <c r="K42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42">
        <f>MONTH(DATEVALUE("1-" &amp; Table2[[#This Row],[Month]] &amp; "-2024"))</f>
        <v>5</v>
      </c>
    </row>
    <row r="43" spans="1:12" x14ac:dyDescent="0.35">
      <c r="A43" t="s">
        <v>54</v>
      </c>
      <c r="B43" t="s">
        <v>337</v>
      </c>
      <c r="C43">
        <f t="shared" ca="1" si="5"/>
        <v>101</v>
      </c>
      <c r="D43">
        <f t="shared" ca="1" si="6"/>
        <v>13</v>
      </c>
      <c r="E43">
        <f t="shared" ca="1" si="7"/>
        <v>16</v>
      </c>
      <c r="F43">
        <f t="shared" ca="1" si="8"/>
        <v>11</v>
      </c>
      <c r="G43">
        <f t="shared" ca="1" si="9"/>
        <v>24993</v>
      </c>
      <c r="H43" s="8">
        <f ca="1">Table2[[#This Row],[Meetings]]/Table2[[#This Row],[Calls]]</f>
        <v>0.12871287128712872</v>
      </c>
      <c r="I43" s="10">
        <f ca="1">Table2[[#This Row],[Proposals]]/Table2[[#This Row],[Meetings]]</f>
        <v>1.2307692307692308</v>
      </c>
      <c r="J43" s="10">
        <f ca="1">Table2[[#This Row],[Sales]]/Table2[[#This Row],[Proposals]]</f>
        <v>0.6875</v>
      </c>
      <c r="K43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43">
        <f>MONTH(DATEVALUE("1-" &amp; Table2[[#This Row],[Month]] &amp; "-2024"))</f>
        <v>6</v>
      </c>
    </row>
    <row r="44" spans="1:12" x14ac:dyDescent="0.35">
      <c r="A44" t="s">
        <v>57</v>
      </c>
      <c r="B44" t="s">
        <v>338</v>
      </c>
      <c r="C44">
        <f t="shared" ca="1" si="5"/>
        <v>93</v>
      </c>
      <c r="D44">
        <f t="shared" ca="1" si="6"/>
        <v>44</v>
      </c>
      <c r="E44">
        <f t="shared" ca="1" si="7"/>
        <v>16</v>
      </c>
      <c r="F44">
        <f t="shared" ca="1" si="8"/>
        <v>11</v>
      </c>
      <c r="G44">
        <f t="shared" ca="1" si="9"/>
        <v>30362</v>
      </c>
      <c r="H44" s="8">
        <f ca="1">Table2[[#This Row],[Meetings]]/Table2[[#This Row],[Calls]]</f>
        <v>0.4731182795698925</v>
      </c>
      <c r="I44" s="10">
        <f ca="1">Table2[[#This Row],[Proposals]]/Table2[[#This Row],[Meetings]]</f>
        <v>0.36363636363636365</v>
      </c>
      <c r="J44" s="10">
        <f ca="1">Table2[[#This Row],[Sales]]/Table2[[#This Row],[Proposals]]</f>
        <v>0.6875</v>
      </c>
      <c r="K44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44">
        <f>MONTH(DATEVALUE("1-" &amp; Table2[[#This Row],[Month]] &amp; "-2024"))</f>
        <v>7</v>
      </c>
    </row>
    <row r="45" spans="1:12" x14ac:dyDescent="0.35">
      <c r="A45" t="s">
        <v>60</v>
      </c>
      <c r="B45" t="s">
        <v>316</v>
      </c>
      <c r="C45">
        <f t="shared" ca="1" si="5"/>
        <v>127</v>
      </c>
      <c r="D45">
        <f t="shared" ca="1" si="6"/>
        <v>16</v>
      </c>
      <c r="E45">
        <f t="shared" ca="1" si="7"/>
        <v>16</v>
      </c>
      <c r="F45">
        <f t="shared" ca="1" si="8"/>
        <v>14</v>
      </c>
      <c r="G45">
        <f t="shared" ca="1" si="9"/>
        <v>58880</v>
      </c>
      <c r="H45" s="8">
        <f ca="1">Table2[[#This Row],[Meetings]]/Table2[[#This Row],[Calls]]</f>
        <v>0.12598425196850394</v>
      </c>
      <c r="I45" s="10">
        <f ca="1">Table2[[#This Row],[Proposals]]/Table2[[#This Row],[Meetings]]</f>
        <v>1</v>
      </c>
      <c r="J45" s="10">
        <f ca="1">Table2[[#This Row],[Sales]]/Table2[[#This Row],[Proposals]]</f>
        <v>0.875</v>
      </c>
      <c r="K45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45">
        <f>MONTH(DATEVALUE("1-" &amp; Table2[[#This Row],[Month]] &amp; "-2024"))</f>
        <v>8</v>
      </c>
    </row>
    <row r="46" spans="1:12" x14ac:dyDescent="0.35">
      <c r="A46" t="s">
        <v>64</v>
      </c>
      <c r="B46" t="s">
        <v>317</v>
      </c>
      <c r="C46">
        <f t="shared" ca="1" si="5"/>
        <v>108</v>
      </c>
      <c r="D46">
        <f t="shared" ca="1" si="6"/>
        <v>12</v>
      </c>
      <c r="E46">
        <f t="shared" ca="1" si="7"/>
        <v>7</v>
      </c>
      <c r="F46">
        <f t="shared" ca="1" si="8"/>
        <v>9</v>
      </c>
      <c r="G46">
        <f t="shared" ca="1" si="9"/>
        <v>57275</v>
      </c>
      <c r="H46" s="8">
        <f ca="1">Table2[[#This Row],[Meetings]]/Table2[[#This Row],[Calls]]</f>
        <v>0.1111111111111111</v>
      </c>
      <c r="I46" s="10">
        <f ca="1">Table2[[#This Row],[Proposals]]/Table2[[#This Row],[Meetings]]</f>
        <v>0.58333333333333337</v>
      </c>
      <c r="J46" s="10">
        <f ca="1">Table2[[#This Row],[Sales]]/Table2[[#This Row],[Proposals]]</f>
        <v>1.2857142857142858</v>
      </c>
      <c r="K46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46">
        <f>MONTH(DATEVALUE("1-" &amp; Table2[[#This Row],[Month]] &amp; "-2024"))</f>
        <v>9</v>
      </c>
    </row>
    <row r="47" spans="1:12" x14ac:dyDescent="0.35">
      <c r="A47" t="s">
        <v>67</v>
      </c>
      <c r="B47" t="s">
        <v>318</v>
      </c>
      <c r="C47">
        <f t="shared" ca="1" si="5"/>
        <v>72</v>
      </c>
      <c r="D47">
        <f t="shared" ca="1" si="6"/>
        <v>43</v>
      </c>
      <c r="E47">
        <f t="shared" ca="1" si="7"/>
        <v>17</v>
      </c>
      <c r="F47">
        <f t="shared" ca="1" si="8"/>
        <v>6</v>
      </c>
      <c r="G47">
        <f t="shared" ca="1" si="9"/>
        <v>10015</v>
      </c>
      <c r="H47" s="8">
        <f ca="1">Table2[[#This Row],[Meetings]]/Table2[[#This Row],[Calls]]</f>
        <v>0.59722222222222221</v>
      </c>
      <c r="I47" s="10">
        <f ca="1">Table2[[#This Row],[Proposals]]/Table2[[#This Row],[Meetings]]</f>
        <v>0.39534883720930231</v>
      </c>
      <c r="J47" s="10">
        <f ca="1">Table2[[#This Row],[Sales]]/Table2[[#This Row],[Proposals]]</f>
        <v>0.35294117647058826</v>
      </c>
      <c r="K47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47">
        <f>MONTH(DATEVALUE("1-" &amp; Table2[[#This Row],[Month]] &amp; "-2024"))</f>
        <v>10</v>
      </c>
    </row>
    <row r="48" spans="1:12" x14ac:dyDescent="0.35">
      <c r="A48" t="s">
        <v>70</v>
      </c>
      <c r="B48" t="s">
        <v>319</v>
      </c>
      <c r="C48">
        <f t="shared" ca="1" si="5"/>
        <v>121</v>
      </c>
      <c r="D48">
        <f t="shared" ca="1" si="6"/>
        <v>11</v>
      </c>
      <c r="E48">
        <f t="shared" ca="1" si="7"/>
        <v>9</v>
      </c>
      <c r="F48">
        <f t="shared" ca="1" si="8"/>
        <v>4</v>
      </c>
      <c r="G48">
        <f t="shared" ca="1" si="9"/>
        <v>35838</v>
      </c>
      <c r="H48" s="8">
        <f ca="1">Table2[[#This Row],[Meetings]]/Table2[[#This Row],[Calls]]</f>
        <v>9.0909090909090912E-2</v>
      </c>
      <c r="I48" s="10">
        <f ca="1">Table2[[#This Row],[Proposals]]/Table2[[#This Row],[Meetings]]</f>
        <v>0.81818181818181823</v>
      </c>
      <c r="J48" s="10">
        <f ca="1">Table2[[#This Row],[Sales]]/Table2[[#This Row],[Proposals]]</f>
        <v>0.44444444444444442</v>
      </c>
      <c r="K48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48">
        <f>MONTH(DATEVALUE("1-" &amp; Table2[[#This Row],[Month]] &amp; "-2024"))</f>
        <v>11</v>
      </c>
    </row>
    <row r="49" spans="1:12" x14ac:dyDescent="0.35">
      <c r="A49" t="s">
        <v>73</v>
      </c>
      <c r="B49" t="s">
        <v>320</v>
      </c>
      <c r="C49">
        <f t="shared" ca="1" si="5"/>
        <v>113</v>
      </c>
      <c r="D49">
        <f t="shared" ca="1" si="6"/>
        <v>20</v>
      </c>
      <c r="E49">
        <f t="shared" ca="1" si="7"/>
        <v>13</v>
      </c>
      <c r="F49">
        <f t="shared" ca="1" si="8"/>
        <v>3</v>
      </c>
      <c r="G49">
        <f t="shared" ca="1" si="9"/>
        <v>30214</v>
      </c>
      <c r="H49" s="8">
        <f ca="1">Table2[[#This Row],[Meetings]]/Table2[[#This Row],[Calls]]</f>
        <v>0.17699115044247787</v>
      </c>
      <c r="I49" s="10">
        <f ca="1">Table2[[#This Row],[Proposals]]/Table2[[#This Row],[Meetings]]</f>
        <v>0.65</v>
      </c>
      <c r="J49" s="10">
        <f ca="1">Table2[[#This Row],[Sales]]/Table2[[#This Row],[Proposals]]</f>
        <v>0.23076923076923078</v>
      </c>
      <c r="K49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49">
        <f>MONTH(DATEVALUE("1-" &amp; Table2[[#This Row],[Month]] &amp; "-2024"))</f>
        <v>12</v>
      </c>
    </row>
    <row r="50" spans="1:12" x14ac:dyDescent="0.35">
      <c r="A50" t="s">
        <v>76</v>
      </c>
      <c r="B50" t="s">
        <v>311</v>
      </c>
      <c r="C50">
        <f t="shared" ca="1" si="5"/>
        <v>122</v>
      </c>
      <c r="D50">
        <f t="shared" ca="1" si="6"/>
        <v>28</v>
      </c>
      <c r="E50">
        <f t="shared" ca="1" si="7"/>
        <v>8</v>
      </c>
      <c r="F50">
        <f t="shared" ca="1" si="8"/>
        <v>15</v>
      </c>
      <c r="G50">
        <f t="shared" ca="1" si="9"/>
        <v>49515</v>
      </c>
      <c r="H50" s="8">
        <f ca="1">Table2[[#This Row],[Meetings]]/Table2[[#This Row],[Calls]]</f>
        <v>0.22950819672131148</v>
      </c>
      <c r="I50" s="10">
        <f ca="1">Table2[[#This Row],[Proposals]]/Table2[[#This Row],[Meetings]]</f>
        <v>0.2857142857142857</v>
      </c>
      <c r="J50" s="10">
        <f ca="1">Table2[[#This Row],[Sales]]/Table2[[#This Row],[Proposals]]</f>
        <v>1.875</v>
      </c>
      <c r="K50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50">
        <f>MONTH(DATEVALUE("1-" &amp; Table2[[#This Row],[Month]] &amp; "-2024"))</f>
        <v>1</v>
      </c>
    </row>
    <row r="51" spans="1:12" x14ac:dyDescent="0.35">
      <c r="A51" t="s">
        <v>79</v>
      </c>
      <c r="B51" t="s">
        <v>312</v>
      </c>
      <c r="C51">
        <f t="shared" ca="1" si="5"/>
        <v>111</v>
      </c>
      <c r="D51">
        <f t="shared" ca="1" si="6"/>
        <v>28</v>
      </c>
      <c r="E51">
        <f t="shared" ca="1" si="7"/>
        <v>9</v>
      </c>
      <c r="F51">
        <f t="shared" ca="1" si="8"/>
        <v>10</v>
      </c>
      <c r="G51">
        <f t="shared" ca="1" si="9"/>
        <v>36102</v>
      </c>
      <c r="H51" s="8">
        <f ca="1">Table2[[#This Row],[Meetings]]/Table2[[#This Row],[Calls]]</f>
        <v>0.25225225225225223</v>
      </c>
      <c r="I51" s="10">
        <f ca="1">Table2[[#This Row],[Proposals]]/Table2[[#This Row],[Meetings]]</f>
        <v>0.32142857142857145</v>
      </c>
      <c r="J51" s="10">
        <f ca="1">Table2[[#This Row],[Sales]]/Table2[[#This Row],[Proposals]]</f>
        <v>1.1111111111111112</v>
      </c>
      <c r="K51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51">
        <f>MONTH(DATEVALUE("1-" &amp; Table2[[#This Row],[Month]] &amp; "-2024"))</f>
        <v>2</v>
      </c>
    </row>
    <row r="52" spans="1:12" x14ac:dyDescent="0.35">
      <c r="A52" t="s">
        <v>81</v>
      </c>
      <c r="B52" t="s">
        <v>313</v>
      </c>
      <c r="C52">
        <f t="shared" ca="1" si="5"/>
        <v>122</v>
      </c>
      <c r="D52">
        <f t="shared" ca="1" si="6"/>
        <v>45</v>
      </c>
      <c r="E52">
        <f t="shared" ca="1" si="7"/>
        <v>9</v>
      </c>
      <c r="F52">
        <f t="shared" ca="1" si="8"/>
        <v>10</v>
      </c>
      <c r="G52">
        <f t="shared" ca="1" si="9"/>
        <v>41903</v>
      </c>
      <c r="H52" s="8">
        <f ca="1">Table2[[#This Row],[Meetings]]/Table2[[#This Row],[Calls]]</f>
        <v>0.36885245901639346</v>
      </c>
      <c r="I52" s="10">
        <f ca="1">Table2[[#This Row],[Proposals]]/Table2[[#This Row],[Meetings]]</f>
        <v>0.2</v>
      </c>
      <c r="J52" s="10">
        <f ca="1">Table2[[#This Row],[Sales]]/Table2[[#This Row],[Proposals]]</f>
        <v>1.1111111111111112</v>
      </c>
      <c r="K52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52">
        <f>MONTH(DATEVALUE("1-" &amp; Table2[[#This Row],[Month]] &amp; "-2024"))</f>
        <v>3</v>
      </c>
    </row>
    <row r="53" spans="1:12" x14ac:dyDescent="0.35">
      <c r="A53" t="s">
        <v>84</v>
      </c>
      <c r="B53" t="s">
        <v>314</v>
      </c>
      <c r="C53">
        <f t="shared" ca="1" si="5"/>
        <v>160</v>
      </c>
      <c r="D53">
        <f t="shared" ca="1" si="6"/>
        <v>46</v>
      </c>
      <c r="E53">
        <f t="shared" ca="1" si="7"/>
        <v>9</v>
      </c>
      <c r="F53">
        <f t="shared" ca="1" si="8"/>
        <v>9</v>
      </c>
      <c r="G53">
        <f t="shared" ca="1" si="9"/>
        <v>48508</v>
      </c>
      <c r="H53" s="8">
        <f ca="1">Table2[[#This Row],[Meetings]]/Table2[[#This Row],[Calls]]</f>
        <v>0.28749999999999998</v>
      </c>
      <c r="I53" s="10">
        <f ca="1">Table2[[#This Row],[Proposals]]/Table2[[#This Row],[Meetings]]</f>
        <v>0.19565217391304349</v>
      </c>
      <c r="J53" s="10">
        <f ca="1">Table2[[#This Row],[Sales]]/Table2[[#This Row],[Proposals]]</f>
        <v>1</v>
      </c>
      <c r="K53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53">
        <f>MONTH(DATEVALUE("1-" &amp; Table2[[#This Row],[Month]] &amp; "-2024"))</f>
        <v>4</v>
      </c>
    </row>
    <row r="54" spans="1:12" x14ac:dyDescent="0.35">
      <c r="A54" t="s">
        <v>86</v>
      </c>
      <c r="B54" t="s">
        <v>315</v>
      </c>
      <c r="C54">
        <f t="shared" ca="1" si="5"/>
        <v>102</v>
      </c>
      <c r="D54">
        <f t="shared" ca="1" si="6"/>
        <v>18</v>
      </c>
      <c r="E54">
        <f t="shared" ca="1" si="7"/>
        <v>6</v>
      </c>
      <c r="F54">
        <f t="shared" ca="1" si="8"/>
        <v>12</v>
      </c>
      <c r="G54">
        <f t="shared" ca="1" si="9"/>
        <v>48974</v>
      </c>
      <c r="H54" s="8">
        <f ca="1">Table2[[#This Row],[Meetings]]/Table2[[#This Row],[Calls]]</f>
        <v>0.17647058823529413</v>
      </c>
      <c r="I54" s="10">
        <f ca="1">Table2[[#This Row],[Proposals]]/Table2[[#This Row],[Meetings]]</f>
        <v>0.33333333333333331</v>
      </c>
      <c r="J54" s="10">
        <f ca="1">Table2[[#This Row],[Sales]]/Table2[[#This Row],[Proposals]]</f>
        <v>2</v>
      </c>
      <c r="K54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54">
        <f>MONTH(DATEVALUE("1-" &amp; Table2[[#This Row],[Month]] &amp; "-2024"))</f>
        <v>5</v>
      </c>
    </row>
    <row r="55" spans="1:12" x14ac:dyDescent="0.35">
      <c r="A55" t="s">
        <v>88</v>
      </c>
      <c r="B55" t="s">
        <v>337</v>
      </c>
      <c r="C55">
        <f t="shared" ca="1" si="5"/>
        <v>106</v>
      </c>
      <c r="D55">
        <f t="shared" ca="1" si="6"/>
        <v>7</v>
      </c>
      <c r="E55">
        <f t="shared" ca="1" si="7"/>
        <v>14</v>
      </c>
      <c r="F55">
        <f t="shared" ca="1" si="8"/>
        <v>3</v>
      </c>
      <c r="G55">
        <f t="shared" ca="1" si="9"/>
        <v>29731</v>
      </c>
      <c r="H55" s="8">
        <f ca="1">Table2[[#This Row],[Meetings]]/Table2[[#This Row],[Calls]]</f>
        <v>6.6037735849056603E-2</v>
      </c>
      <c r="I55" s="10">
        <f ca="1">Table2[[#This Row],[Proposals]]/Table2[[#This Row],[Meetings]]</f>
        <v>2</v>
      </c>
      <c r="J55" s="10">
        <f ca="1">Table2[[#This Row],[Sales]]/Table2[[#This Row],[Proposals]]</f>
        <v>0.21428571428571427</v>
      </c>
      <c r="K55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55">
        <f>MONTH(DATEVALUE("1-" &amp; Table2[[#This Row],[Month]] &amp; "-2024"))</f>
        <v>6</v>
      </c>
    </row>
    <row r="56" spans="1:12" x14ac:dyDescent="0.35">
      <c r="A56" t="s">
        <v>90</v>
      </c>
      <c r="B56" t="s">
        <v>338</v>
      </c>
      <c r="C56">
        <f t="shared" ca="1" si="5"/>
        <v>117</v>
      </c>
      <c r="D56">
        <f t="shared" ca="1" si="6"/>
        <v>32</v>
      </c>
      <c r="E56">
        <f t="shared" ca="1" si="7"/>
        <v>11</v>
      </c>
      <c r="F56">
        <f t="shared" ca="1" si="8"/>
        <v>3</v>
      </c>
      <c r="G56">
        <f t="shared" ca="1" si="9"/>
        <v>58728</v>
      </c>
      <c r="H56" s="8">
        <f ca="1">Table2[[#This Row],[Meetings]]/Table2[[#This Row],[Calls]]</f>
        <v>0.27350427350427353</v>
      </c>
      <c r="I56" s="10">
        <f ca="1">Table2[[#This Row],[Proposals]]/Table2[[#This Row],[Meetings]]</f>
        <v>0.34375</v>
      </c>
      <c r="J56" s="10">
        <f ca="1">Table2[[#This Row],[Sales]]/Table2[[#This Row],[Proposals]]</f>
        <v>0.27272727272727271</v>
      </c>
      <c r="K56" t="str">
        <f ca="1">IF(Table2[[#This Row],[Meeting Rate]]&lt;0.2,"Poor Communication",IF(Table2[[#This Row],[Proposal Rate]]&lt;0.3,"Poor Closing",IF(Table2[[#This Row],[Sales Conversion]]&lt;0.3,"Poor Pitching","Strong Performer")))</f>
        <v>Poor Pitching</v>
      </c>
      <c r="L56">
        <f>MONTH(DATEVALUE("1-" &amp; Table2[[#This Row],[Month]] &amp; "-2024"))</f>
        <v>7</v>
      </c>
    </row>
    <row r="57" spans="1:12" x14ac:dyDescent="0.35">
      <c r="A57" t="s">
        <v>92</v>
      </c>
      <c r="B57" t="s">
        <v>316</v>
      </c>
      <c r="C57">
        <f t="shared" ca="1" si="5"/>
        <v>151</v>
      </c>
      <c r="D57">
        <f t="shared" ca="1" si="6"/>
        <v>15</v>
      </c>
      <c r="E57">
        <f t="shared" ca="1" si="7"/>
        <v>13</v>
      </c>
      <c r="F57">
        <f t="shared" ca="1" si="8"/>
        <v>8</v>
      </c>
      <c r="G57">
        <f t="shared" ca="1" si="9"/>
        <v>9206</v>
      </c>
      <c r="H57" s="8">
        <f ca="1">Table2[[#This Row],[Meetings]]/Table2[[#This Row],[Calls]]</f>
        <v>9.9337748344370855E-2</v>
      </c>
      <c r="I57" s="10">
        <f ca="1">Table2[[#This Row],[Proposals]]/Table2[[#This Row],[Meetings]]</f>
        <v>0.8666666666666667</v>
      </c>
      <c r="J57" s="10">
        <f ca="1">Table2[[#This Row],[Sales]]/Table2[[#This Row],[Proposals]]</f>
        <v>0.61538461538461542</v>
      </c>
      <c r="K57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57">
        <f>MONTH(DATEVALUE("1-" &amp; Table2[[#This Row],[Month]] &amp; "-2024"))</f>
        <v>8</v>
      </c>
    </row>
    <row r="58" spans="1:12" x14ac:dyDescent="0.35">
      <c r="A58" t="s">
        <v>94</v>
      </c>
      <c r="B58" t="s">
        <v>317</v>
      </c>
      <c r="C58">
        <f t="shared" ca="1" si="5"/>
        <v>118</v>
      </c>
      <c r="D58">
        <f t="shared" ca="1" si="6"/>
        <v>25</v>
      </c>
      <c r="E58">
        <f t="shared" ca="1" si="7"/>
        <v>13</v>
      </c>
      <c r="F58">
        <f t="shared" ca="1" si="8"/>
        <v>8</v>
      </c>
      <c r="G58">
        <f t="shared" ca="1" si="9"/>
        <v>18456</v>
      </c>
      <c r="H58" s="8">
        <f ca="1">Table2[[#This Row],[Meetings]]/Table2[[#This Row],[Calls]]</f>
        <v>0.21186440677966101</v>
      </c>
      <c r="I58" s="10">
        <f ca="1">Table2[[#This Row],[Proposals]]/Table2[[#This Row],[Meetings]]</f>
        <v>0.52</v>
      </c>
      <c r="J58" s="10">
        <f ca="1">Table2[[#This Row],[Sales]]/Table2[[#This Row],[Proposals]]</f>
        <v>0.61538461538461542</v>
      </c>
      <c r="K58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58">
        <f>MONTH(DATEVALUE("1-" &amp; Table2[[#This Row],[Month]] &amp; "-2024"))</f>
        <v>9</v>
      </c>
    </row>
    <row r="59" spans="1:12" x14ac:dyDescent="0.35">
      <c r="A59" t="s">
        <v>96</v>
      </c>
      <c r="B59" t="s">
        <v>318</v>
      </c>
      <c r="C59">
        <f t="shared" ca="1" si="5"/>
        <v>71</v>
      </c>
      <c r="D59">
        <f t="shared" ca="1" si="6"/>
        <v>30</v>
      </c>
      <c r="E59">
        <f t="shared" ca="1" si="7"/>
        <v>20</v>
      </c>
      <c r="F59">
        <f t="shared" ca="1" si="8"/>
        <v>14</v>
      </c>
      <c r="G59">
        <f t="shared" ca="1" si="9"/>
        <v>22396</v>
      </c>
      <c r="H59" s="8">
        <f ca="1">Table2[[#This Row],[Meetings]]/Table2[[#This Row],[Calls]]</f>
        <v>0.42253521126760563</v>
      </c>
      <c r="I59" s="10">
        <f ca="1">Table2[[#This Row],[Proposals]]/Table2[[#This Row],[Meetings]]</f>
        <v>0.66666666666666663</v>
      </c>
      <c r="J59" s="10">
        <f ca="1">Table2[[#This Row],[Sales]]/Table2[[#This Row],[Proposals]]</f>
        <v>0.7</v>
      </c>
      <c r="K59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59">
        <f>MONTH(DATEVALUE("1-" &amp; Table2[[#This Row],[Month]] &amp; "-2024"))</f>
        <v>10</v>
      </c>
    </row>
    <row r="60" spans="1:12" x14ac:dyDescent="0.35">
      <c r="A60" t="s">
        <v>98</v>
      </c>
      <c r="B60" t="s">
        <v>319</v>
      </c>
      <c r="C60">
        <f t="shared" ca="1" si="5"/>
        <v>82</v>
      </c>
      <c r="D60">
        <f t="shared" ca="1" si="6"/>
        <v>13</v>
      </c>
      <c r="E60">
        <f t="shared" ca="1" si="7"/>
        <v>20</v>
      </c>
      <c r="F60">
        <f t="shared" ca="1" si="8"/>
        <v>8</v>
      </c>
      <c r="G60">
        <f t="shared" ca="1" si="9"/>
        <v>40153</v>
      </c>
      <c r="H60" s="8">
        <f ca="1">Table2[[#This Row],[Meetings]]/Table2[[#This Row],[Calls]]</f>
        <v>0.15853658536585366</v>
      </c>
      <c r="I60" s="10">
        <f ca="1">Table2[[#This Row],[Proposals]]/Table2[[#This Row],[Meetings]]</f>
        <v>1.5384615384615385</v>
      </c>
      <c r="J60" s="10">
        <f ca="1">Table2[[#This Row],[Sales]]/Table2[[#This Row],[Proposals]]</f>
        <v>0.4</v>
      </c>
      <c r="K60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60">
        <f>MONTH(DATEVALUE("1-" &amp; Table2[[#This Row],[Month]] &amp; "-2024"))</f>
        <v>11</v>
      </c>
    </row>
    <row r="61" spans="1:12" x14ac:dyDescent="0.35">
      <c r="A61" t="s">
        <v>100</v>
      </c>
      <c r="B61" t="s">
        <v>320</v>
      </c>
      <c r="C61">
        <f t="shared" ca="1" si="5"/>
        <v>101</v>
      </c>
      <c r="D61">
        <f t="shared" ca="1" si="6"/>
        <v>14</v>
      </c>
      <c r="E61">
        <f t="shared" ca="1" si="7"/>
        <v>16</v>
      </c>
      <c r="F61">
        <f t="shared" ca="1" si="8"/>
        <v>4</v>
      </c>
      <c r="G61">
        <f t="shared" ca="1" si="9"/>
        <v>19254</v>
      </c>
      <c r="H61" s="8">
        <f ca="1">Table2[[#This Row],[Meetings]]/Table2[[#This Row],[Calls]]</f>
        <v>0.13861386138613863</v>
      </c>
      <c r="I61" s="10">
        <f ca="1">Table2[[#This Row],[Proposals]]/Table2[[#This Row],[Meetings]]</f>
        <v>1.1428571428571428</v>
      </c>
      <c r="J61" s="10">
        <f ca="1">Table2[[#This Row],[Sales]]/Table2[[#This Row],[Proposals]]</f>
        <v>0.25</v>
      </c>
      <c r="K61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61">
        <f>MONTH(DATEVALUE("1-" &amp; Table2[[#This Row],[Month]] &amp; "-2024"))</f>
        <v>12</v>
      </c>
    </row>
    <row r="62" spans="1:12" x14ac:dyDescent="0.35">
      <c r="A62" t="s">
        <v>7</v>
      </c>
      <c r="B62" t="s">
        <v>311</v>
      </c>
      <c r="C62">
        <f t="shared" ca="1" si="5"/>
        <v>81</v>
      </c>
      <c r="D62">
        <f t="shared" ca="1" si="6"/>
        <v>11</v>
      </c>
      <c r="E62">
        <f t="shared" ca="1" si="7"/>
        <v>7</v>
      </c>
      <c r="F62">
        <f t="shared" ca="1" si="8"/>
        <v>3</v>
      </c>
      <c r="G62">
        <f t="shared" ca="1" si="9"/>
        <v>24080</v>
      </c>
      <c r="H62" s="8">
        <f ca="1">Table2[[#This Row],[Meetings]]/Table2[[#This Row],[Calls]]</f>
        <v>0.13580246913580246</v>
      </c>
      <c r="I62" s="10">
        <f ca="1">Table2[[#This Row],[Proposals]]/Table2[[#This Row],[Meetings]]</f>
        <v>0.63636363636363635</v>
      </c>
      <c r="J62" s="10">
        <f ca="1">Table2[[#This Row],[Sales]]/Table2[[#This Row],[Proposals]]</f>
        <v>0.42857142857142855</v>
      </c>
      <c r="K62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62">
        <f>MONTH(DATEVALUE("1-" &amp; Table2[[#This Row],[Month]] &amp; "-2024"))</f>
        <v>1</v>
      </c>
    </row>
    <row r="63" spans="1:12" x14ac:dyDescent="0.35">
      <c r="A63" t="s">
        <v>14</v>
      </c>
      <c r="B63" t="s">
        <v>312</v>
      </c>
      <c r="C63">
        <f t="shared" ca="1" si="5"/>
        <v>147</v>
      </c>
      <c r="D63">
        <f t="shared" ca="1" si="6"/>
        <v>18</v>
      </c>
      <c r="E63">
        <f t="shared" ca="1" si="7"/>
        <v>2</v>
      </c>
      <c r="F63">
        <f t="shared" ca="1" si="8"/>
        <v>11</v>
      </c>
      <c r="G63">
        <f t="shared" ca="1" si="9"/>
        <v>11485</v>
      </c>
      <c r="H63" s="8">
        <f ca="1">Table2[[#This Row],[Meetings]]/Table2[[#This Row],[Calls]]</f>
        <v>0.12244897959183673</v>
      </c>
      <c r="I63" s="10">
        <f ca="1">Table2[[#This Row],[Proposals]]/Table2[[#This Row],[Meetings]]</f>
        <v>0.1111111111111111</v>
      </c>
      <c r="J63" s="10">
        <f ca="1">Table2[[#This Row],[Sales]]/Table2[[#This Row],[Proposals]]</f>
        <v>5.5</v>
      </c>
      <c r="K63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63">
        <f>MONTH(DATEVALUE("1-" &amp; Table2[[#This Row],[Month]] &amp; "-2024"))</f>
        <v>2</v>
      </c>
    </row>
    <row r="64" spans="1:12" x14ac:dyDescent="0.35">
      <c r="A64" t="s">
        <v>21</v>
      </c>
      <c r="B64" t="s">
        <v>313</v>
      </c>
      <c r="C64">
        <f t="shared" ca="1" si="5"/>
        <v>142</v>
      </c>
      <c r="D64">
        <f t="shared" ca="1" si="6"/>
        <v>16</v>
      </c>
      <c r="E64">
        <f t="shared" ca="1" si="7"/>
        <v>3</v>
      </c>
      <c r="F64">
        <f t="shared" ca="1" si="8"/>
        <v>7</v>
      </c>
      <c r="G64">
        <f t="shared" ca="1" si="9"/>
        <v>49673</v>
      </c>
      <c r="H64" s="8">
        <f ca="1">Table2[[#This Row],[Meetings]]/Table2[[#This Row],[Calls]]</f>
        <v>0.11267605633802817</v>
      </c>
      <c r="I64" s="10">
        <f ca="1">Table2[[#This Row],[Proposals]]/Table2[[#This Row],[Meetings]]</f>
        <v>0.1875</v>
      </c>
      <c r="J64" s="10">
        <f ca="1">Table2[[#This Row],[Sales]]/Table2[[#This Row],[Proposals]]</f>
        <v>2.3333333333333335</v>
      </c>
      <c r="K64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64">
        <f>MONTH(DATEVALUE("1-" &amp; Table2[[#This Row],[Month]] &amp; "-2024"))</f>
        <v>3</v>
      </c>
    </row>
    <row r="65" spans="1:12" x14ac:dyDescent="0.35">
      <c r="A65" t="s">
        <v>24</v>
      </c>
      <c r="B65" t="s">
        <v>314</v>
      </c>
      <c r="C65">
        <f t="shared" ca="1" si="5"/>
        <v>118</v>
      </c>
      <c r="D65">
        <f t="shared" ca="1" si="6"/>
        <v>48</v>
      </c>
      <c r="E65">
        <f t="shared" ca="1" si="7"/>
        <v>17</v>
      </c>
      <c r="F65">
        <f t="shared" ca="1" si="8"/>
        <v>9</v>
      </c>
      <c r="G65">
        <f t="shared" ca="1" si="9"/>
        <v>46536</v>
      </c>
      <c r="H65" s="8">
        <f ca="1">Table2[[#This Row],[Meetings]]/Table2[[#This Row],[Calls]]</f>
        <v>0.40677966101694918</v>
      </c>
      <c r="I65" s="10">
        <f ca="1">Table2[[#This Row],[Proposals]]/Table2[[#This Row],[Meetings]]</f>
        <v>0.35416666666666669</v>
      </c>
      <c r="J65" s="10">
        <f ca="1">Table2[[#This Row],[Sales]]/Table2[[#This Row],[Proposals]]</f>
        <v>0.52941176470588236</v>
      </c>
      <c r="K65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65">
        <f>MONTH(DATEVALUE("1-" &amp; Table2[[#This Row],[Month]] &amp; "-2024"))</f>
        <v>4</v>
      </c>
    </row>
    <row r="66" spans="1:12" x14ac:dyDescent="0.35">
      <c r="A66" t="s">
        <v>28</v>
      </c>
      <c r="B66" t="s">
        <v>315</v>
      </c>
      <c r="C66">
        <f t="shared" ref="C66:C97" ca="1" si="10">RANDBETWEEN(70,160)</f>
        <v>155</v>
      </c>
      <c r="D66">
        <f t="shared" ref="D66:D97" ca="1" si="11">RANDBETWEEN(5,50)</f>
        <v>5</v>
      </c>
      <c r="E66">
        <f t="shared" ref="E66:E97" ca="1" si="12">RANDBETWEEN(2,25)</f>
        <v>24</v>
      </c>
      <c r="F66">
        <f t="shared" ref="F66:F97" ca="1" si="13">RANDBETWEEN(1,15)</f>
        <v>4</v>
      </c>
      <c r="G66">
        <f t="shared" ref="G66:G97" ca="1" si="14">RANDBETWEEN(8000,60000)</f>
        <v>56405</v>
      </c>
      <c r="H66" s="8">
        <f ca="1">Table2[[#This Row],[Meetings]]/Table2[[#This Row],[Calls]]</f>
        <v>3.2258064516129031E-2</v>
      </c>
      <c r="I66" s="10">
        <f ca="1">Table2[[#This Row],[Proposals]]/Table2[[#This Row],[Meetings]]</f>
        <v>4.8</v>
      </c>
      <c r="J66" s="10">
        <f ca="1">Table2[[#This Row],[Sales]]/Table2[[#This Row],[Proposals]]</f>
        <v>0.16666666666666666</v>
      </c>
      <c r="K66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66">
        <f>MONTH(DATEVALUE("1-" &amp; Table2[[#This Row],[Month]] &amp; "-2024"))</f>
        <v>5</v>
      </c>
    </row>
    <row r="67" spans="1:12" x14ac:dyDescent="0.35">
      <c r="A67" t="s">
        <v>33</v>
      </c>
      <c r="B67" t="s">
        <v>337</v>
      </c>
      <c r="C67">
        <f t="shared" ca="1" si="10"/>
        <v>98</v>
      </c>
      <c r="D67">
        <f t="shared" ca="1" si="11"/>
        <v>10</v>
      </c>
      <c r="E67">
        <f t="shared" ca="1" si="12"/>
        <v>18</v>
      </c>
      <c r="F67">
        <f t="shared" ca="1" si="13"/>
        <v>3</v>
      </c>
      <c r="G67">
        <f t="shared" ca="1" si="14"/>
        <v>49862</v>
      </c>
      <c r="H67" s="8">
        <f ca="1">Table2[[#This Row],[Meetings]]/Table2[[#This Row],[Calls]]</f>
        <v>0.10204081632653061</v>
      </c>
      <c r="I67" s="10">
        <f ca="1">Table2[[#This Row],[Proposals]]/Table2[[#This Row],[Meetings]]</f>
        <v>1.8</v>
      </c>
      <c r="J67" s="10">
        <f ca="1">Table2[[#This Row],[Sales]]/Table2[[#This Row],[Proposals]]</f>
        <v>0.16666666666666666</v>
      </c>
      <c r="K67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67">
        <f>MONTH(DATEVALUE("1-" &amp; Table2[[#This Row],[Month]] &amp; "-2024"))</f>
        <v>6</v>
      </c>
    </row>
    <row r="68" spans="1:12" x14ac:dyDescent="0.35">
      <c r="A68" t="s">
        <v>38</v>
      </c>
      <c r="B68" t="s">
        <v>338</v>
      </c>
      <c r="C68">
        <f t="shared" ca="1" si="10"/>
        <v>71</v>
      </c>
      <c r="D68">
        <f t="shared" ca="1" si="11"/>
        <v>27</v>
      </c>
      <c r="E68">
        <f t="shared" ca="1" si="12"/>
        <v>16</v>
      </c>
      <c r="F68">
        <f t="shared" ca="1" si="13"/>
        <v>12</v>
      </c>
      <c r="G68">
        <f t="shared" ca="1" si="14"/>
        <v>17828</v>
      </c>
      <c r="H68" s="8">
        <f ca="1">Table2[[#This Row],[Meetings]]/Table2[[#This Row],[Calls]]</f>
        <v>0.38028169014084506</v>
      </c>
      <c r="I68" s="10">
        <f ca="1">Table2[[#This Row],[Proposals]]/Table2[[#This Row],[Meetings]]</f>
        <v>0.59259259259259256</v>
      </c>
      <c r="J68" s="10">
        <f ca="1">Table2[[#This Row],[Sales]]/Table2[[#This Row],[Proposals]]</f>
        <v>0.75</v>
      </c>
      <c r="K68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68">
        <f>MONTH(DATEVALUE("1-" &amp; Table2[[#This Row],[Month]] &amp; "-2024"))</f>
        <v>7</v>
      </c>
    </row>
    <row r="69" spans="1:12" x14ac:dyDescent="0.35">
      <c r="A69" t="s">
        <v>42</v>
      </c>
      <c r="B69" t="s">
        <v>316</v>
      </c>
      <c r="C69">
        <f t="shared" ca="1" si="10"/>
        <v>145</v>
      </c>
      <c r="D69">
        <f t="shared" ca="1" si="11"/>
        <v>15</v>
      </c>
      <c r="E69">
        <f t="shared" ca="1" si="12"/>
        <v>16</v>
      </c>
      <c r="F69">
        <f t="shared" ca="1" si="13"/>
        <v>1</v>
      </c>
      <c r="G69">
        <f t="shared" ca="1" si="14"/>
        <v>22982</v>
      </c>
      <c r="H69" s="8">
        <f ca="1">Table2[[#This Row],[Meetings]]/Table2[[#This Row],[Calls]]</f>
        <v>0.10344827586206896</v>
      </c>
      <c r="I69" s="10">
        <f ca="1">Table2[[#This Row],[Proposals]]/Table2[[#This Row],[Meetings]]</f>
        <v>1.0666666666666667</v>
      </c>
      <c r="J69" s="10">
        <f ca="1">Table2[[#This Row],[Sales]]/Table2[[#This Row],[Proposals]]</f>
        <v>6.25E-2</v>
      </c>
      <c r="K69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69">
        <f>MONTH(DATEVALUE("1-" &amp; Table2[[#This Row],[Month]] &amp; "-2024"))</f>
        <v>8</v>
      </c>
    </row>
    <row r="70" spans="1:12" x14ac:dyDescent="0.35">
      <c r="A70" t="s">
        <v>45</v>
      </c>
      <c r="B70" t="s">
        <v>317</v>
      </c>
      <c r="C70">
        <f t="shared" ca="1" si="10"/>
        <v>89</v>
      </c>
      <c r="D70">
        <f t="shared" ca="1" si="11"/>
        <v>41</v>
      </c>
      <c r="E70">
        <f t="shared" ca="1" si="12"/>
        <v>19</v>
      </c>
      <c r="F70">
        <f t="shared" ca="1" si="13"/>
        <v>8</v>
      </c>
      <c r="G70">
        <f t="shared" ca="1" si="14"/>
        <v>10004</v>
      </c>
      <c r="H70" s="8">
        <f ca="1">Table2[[#This Row],[Meetings]]/Table2[[#This Row],[Calls]]</f>
        <v>0.4606741573033708</v>
      </c>
      <c r="I70" s="10">
        <f ca="1">Table2[[#This Row],[Proposals]]/Table2[[#This Row],[Meetings]]</f>
        <v>0.46341463414634149</v>
      </c>
      <c r="J70" s="10">
        <f ca="1">Table2[[#This Row],[Sales]]/Table2[[#This Row],[Proposals]]</f>
        <v>0.42105263157894735</v>
      </c>
      <c r="K70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70">
        <f>MONTH(DATEVALUE("1-" &amp; Table2[[#This Row],[Month]] &amp; "-2024"))</f>
        <v>9</v>
      </c>
    </row>
    <row r="71" spans="1:12" x14ac:dyDescent="0.35">
      <c r="A71" t="s">
        <v>49</v>
      </c>
      <c r="B71" t="s">
        <v>318</v>
      </c>
      <c r="C71">
        <f t="shared" ca="1" si="10"/>
        <v>114</v>
      </c>
      <c r="D71">
        <f t="shared" ca="1" si="11"/>
        <v>27</v>
      </c>
      <c r="E71">
        <f t="shared" ca="1" si="12"/>
        <v>4</v>
      </c>
      <c r="F71">
        <f t="shared" ca="1" si="13"/>
        <v>3</v>
      </c>
      <c r="G71">
        <f t="shared" ca="1" si="14"/>
        <v>21679</v>
      </c>
      <c r="H71" s="8">
        <f ca="1">Table2[[#This Row],[Meetings]]/Table2[[#This Row],[Calls]]</f>
        <v>0.23684210526315788</v>
      </c>
      <c r="I71" s="10">
        <f ca="1">Table2[[#This Row],[Proposals]]/Table2[[#This Row],[Meetings]]</f>
        <v>0.14814814814814814</v>
      </c>
      <c r="J71" s="10">
        <f ca="1">Table2[[#This Row],[Sales]]/Table2[[#This Row],[Proposals]]</f>
        <v>0.75</v>
      </c>
      <c r="K71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71">
        <f>MONTH(DATEVALUE("1-" &amp; Table2[[#This Row],[Month]] &amp; "-2024"))</f>
        <v>10</v>
      </c>
    </row>
    <row r="72" spans="1:12" x14ac:dyDescent="0.35">
      <c r="A72" t="s">
        <v>52</v>
      </c>
      <c r="B72" t="s">
        <v>319</v>
      </c>
      <c r="C72">
        <f t="shared" ca="1" si="10"/>
        <v>101</v>
      </c>
      <c r="D72">
        <f t="shared" ca="1" si="11"/>
        <v>33</v>
      </c>
      <c r="E72">
        <f t="shared" ca="1" si="12"/>
        <v>11</v>
      </c>
      <c r="F72">
        <f t="shared" ca="1" si="13"/>
        <v>9</v>
      </c>
      <c r="G72">
        <f t="shared" ca="1" si="14"/>
        <v>9355</v>
      </c>
      <c r="H72" s="8">
        <f ca="1">Table2[[#This Row],[Meetings]]/Table2[[#This Row],[Calls]]</f>
        <v>0.32673267326732675</v>
      </c>
      <c r="I72" s="10">
        <f ca="1">Table2[[#This Row],[Proposals]]/Table2[[#This Row],[Meetings]]</f>
        <v>0.33333333333333331</v>
      </c>
      <c r="J72" s="10">
        <f ca="1">Table2[[#This Row],[Sales]]/Table2[[#This Row],[Proposals]]</f>
        <v>0.81818181818181823</v>
      </c>
      <c r="K72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72">
        <f>MONTH(DATEVALUE("1-" &amp; Table2[[#This Row],[Month]] &amp; "-2024"))</f>
        <v>11</v>
      </c>
    </row>
    <row r="73" spans="1:12" x14ac:dyDescent="0.35">
      <c r="A73" t="s">
        <v>54</v>
      </c>
      <c r="B73" t="s">
        <v>320</v>
      </c>
      <c r="C73">
        <f t="shared" ca="1" si="10"/>
        <v>91</v>
      </c>
      <c r="D73">
        <f t="shared" ca="1" si="11"/>
        <v>36</v>
      </c>
      <c r="E73">
        <f t="shared" ca="1" si="12"/>
        <v>22</v>
      </c>
      <c r="F73">
        <f t="shared" ca="1" si="13"/>
        <v>1</v>
      </c>
      <c r="G73">
        <f t="shared" ca="1" si="14"/>
        <v>39709</v>
      </c>
      <c r="H73" s="8">
        <f ca="1">Table2[[#This Row],[Meetings]]/Table2[[#This Row],[Calls]]</f>
        <v>0.39560439560439559</v>
      </c>
      <c r="I73" s="10">
        <f ca="1">Table2[[#This Row],[Proposals]]/Table2[[#This Row],[Meetings]]</f>
        <v>0.61111111111111116</v>
      </c>
      <c r="J73" s="10">
        <f ca="1">Table2[[#This Row],[Sales]]/Table2[[#This Row],[Proposals]]</f>
        <v>4.5454545454545456E-2</v>
      </c>
      <c r="K73" t="str">
        <f ca="1">IF(Table2[[#This Row],[Meeting Rate]]&lt;0.2,"Poor Communication",IF(Table2[[#This Row],[Proposal Rate]]&lt;0.3,"Poor Closing",IF(Table2[[#This Row],[Sales Conversion]]&lt;0.3,"Poor Pitching","Strong Performer")))</f>
        <v>Poor Pitching</v>
      </c>
      <c r="L73">
        <f>MONTH(DATEVALUE("1-" &amp; Table2[[#This Row],[Month]] &amp; "-2024"))</f>
        <v>12</v>
      </c>
    </row>
    <row r="74" spans="1:12" x14ac:dyDescent="0.35">
      <c r="A74" t="s">
        <v>57</v>
      </c>
      <c r="B74" t="s">
        <v>311</v>
      </c>
      <c r="C74">
        <f t="shared" ca="1" si="10"/>
        <v>146</v>
      </c>
      <c r="D74">
        <f t="shared" ca="1" si="11"/>
        <v>34</v>
      </c>
      <c r="E74">
        <f t="shared" ca="1" si="12"/>
        <v>10</v>
      </c>
      <c r="F74">
        <f t="shared" ca="1" si="13"/>
        <v>5</v>
      </c>
      <c r="G74">
        <f t="shared" ca="1" si="14"/>
        <v>51781</v>
      </c>
      <c r="H74" s="8">
        <f ca="1">Table2[[#This Row],[Meetings]]/Table2[[#This Row],[Calls]]</f>
        <v>0.23287671232876711</v>
      </c>
      <c r="I74" s="10">
        <f ca="1">Table2[[#This Row],[Proposals]]/Table2[[#This Row],[Meetings]]</f>
        <v>0.29411764705882354</v>
      </c>
      <c r="J74" s="10">
        <f ca="1">Table2[[#This Row],[Sales]]/Table2[[#This Row],[Proposals]]</f>
        <v>0.5</v>
      </c>
      <c r="K74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74">
        <f>MONTH(DATEVALUE("1-" &amp; Table2[[#This Row],[Month]] &amp; "-2024"))</f>
        <v>1</v>
      </c>
    </row>
    <row r="75" spans="1:12" x14ac:dyDescent="0.35">
      <c r="A75" t="s">
        <v>60</v>
      </c>
      <c r="B75" t="s">
        <v>312</v>
      </c>
      <c r="C75">
        <f t="shared" ca="1" si="10"/>
        <v>92</v>
      </c>
      <c r="D75">
        <f t="shared" ca="1" si="11"/>
        <v>19</v>
      </c>
      <c r="E75">
        <f t="shared" ca="1" si="12"/>
        <v>14</v>
      </c>
      <c r="F75">
        <f t="shared" ca="1" si="13"/>
        <v>4</v>
      </c>
      <c r="G75">
        <f t="shared" ca="1" si="14"/>
        <v>18611</v>
      </c>
      <c r="H75" s="8">
        <f ca="1">Table2[[#This Row],[Meetings]]/Table2[[#This Row],[Calls]]</f>
        <v>0.20652173913043478</v>
      </c>
      <c r="I75" s="10">
        <f ca="1">Table2[[#This Row],[Proposals]]/Table2[[#This Row],[Meetings]]</f>
        <v>0.73684210526315785</v>
      </c>
      <c r="J75" s="10">
        <f ca="1">Table2[[#This Row],[Sales]]/Table2[[#This Row],[Proposals]]</f>
        <v>0.2857142857142857</v>
      </c>
      <c r="K75" t="str">
        <f ca="1">IF(Table2[[#This Row],[Meeting Rate]]&lt;0.2,"Poor Communication",IF(Table2[[#This Row],[Proposal Rate]]&lt;0.3,"Poor Closing",IF(Table2[[#This Row],[Sales Conversion]]&lt;0.3,"Poor Pitching","Strong Performer")))</f>
        <v>Poor Pitching</v>
      </c>
      <c r="L75">
        <f>MONTH(DATEVALUE("1-" &amp; Table2[[#This Row],[Month]] &amp; "-2024"))</f>
        <v>2</v>
      </c>
    </row>
    <row r="76" spans="1:12" x14ac:dyDescent="0.35">
      <c r="A76" t="s">
        <v>64</v>
      </c>
      <c r="B76" t="s">
        <v>313</v>
      </c>
      <c r="C76">
        <f t="shared" ca="1" si="10"/>
        <v>151</v>
      </c>
      <c r="D76">
        <f t="shared" ca="1" si="11"/>
        <v>34</v>
      </c>
      <c r="E76">
        <f t="shared" ca="1" si="12"/>
        <v>22</v>
      </c>
      <c r="F76">
        <f t="shared" ca="1" si="13"/>
        <v>2</v>
      </c>
      <c r="G76">
        <f t="shared" ca="1" si="14"/>
        <v>59998</v>
      </c>
      <c r="H76" s="8">
        <f ca="1">Table2[[#This Row],[Meetings]]/Table2[[#This Row],[Calls]]</f>
        <v>0.2251655629139073</v>
      </c>
      <c r="I76" s="10">
        <f ca="1">Table2[[#This Row],[Proposals]]/Table2[[#This Row],[Meetings]]</f>
        <v>0.6470588235294118</v>
      </c>
      <c r="J76" s="10">
        <f ca="1">Table2[[#This Row],[Sales]]/Table2[[#This Row],[Proposals]]</f>
        <v>9.0909090909090912E-2</v>
      </c>
      <c r="K76" t="str">
        <f ca="1">IF(Table2[[#This Row],[Meeting Rate]]&lt;0.2,"Poor Communication",IF(Table2[[#This Row],[Proposal Rate]]&lt;0.3,"Poor Closing",IF(Table2[[#This Row],[Sales Conversion]]&lt;0.3,"Poor Pitching","Strong Performer")))</f>
        <v>Poor Pitching</v>
      </c>
      <c r="L76">
        <f>MONTH(DATEVALUE("1-" &amp; Table2[[#This Row],[Month]] &amp; "-2024"))</f>
        <v>3</v>
      </c>
    </row>
    <row r="77" spans="1:12" x14ac:dyDescent="0.35">
      <c r="A77" t="s">
        <v>67</v>
      </c>
      <c r="B77" t="s">
        <v>314</v>
      </c>
      <c r="C77">
        <f t="shared" ca="1" si="10"/>
        <v>121</v>
      </c>
      <c r="D77">
        <f t="shared" ca="1" si="11"/>
        <v>46</v>
      </c>
      <c r="E77">
        <f t="shared" ca="1" si="12"/>
        <v>23</v>
      </c>
      <c r="F77">
        <f t="shared" ca="1" si="13"/>
        <v>2</v>
      </c>
      <c r="G77">
        <f t="shared" ca="1" si="14"/>
        <v>42298</v>
      </c>
      <c r="H77" s="8">
        <f ca="1">Table2[[#This Row],[Meetings]]/Table2[[#This Row],[Calls]]</f>
        <v>0.38016528925619836</v>
      </c>
      <c r="I77" s="10">
        <f ca="1">Table2[[#This Row],[Proposals]]/Table2[[#This Row],[Meetings]]</f>
        <v>0.5</v>
      </c>
      <c r="J77" s="10">
        <f ca="1">Table2[[#This Row],[Sales]]/Table2[[#This Row],[Proposals]]</f>
        <v>8.6956521739130432E-2</v>
      </c>
      <c r="K77" t="str">
        <f ca="1">IF(Table2[[#This Row],[Meeting Rate]]&lt;0.2,"Poor Communication",IF(Table2[[#This Row],[Proposal Rate]]&lt;0.3,"Poor Closing",IF(Table2[[#This Row],[Sales Conversion]]&lt;0.3,"Poor Pitching","Strong Performer")))</f>
        <v>Poor Pitching</v>
      </c>
      <c r="L77">
        <f>MONTH(DATEVALUE("1-" &amp; Table2[[#This Row],[Month]] &amp; "-2024"))</f>
        <v>4</v>
      </c>
    </row>
    <row r="78" spans="1:12" x14ac:dyDescent="0.35">
      <c r="A78" t="s">
        <v>70</v>
      </c>
      <c r="B78" t="s">
        <v>315</v>
      </c>
      <c r="C78">
        <f t="shared" ca="1" si="10"/>
        <v>109</v>
      </c>
      <c r="D78">
        <f t="shared" ca="1" si="11"/>
        <v>28</v>
      </c>
      <c r="E78">
        <f t="shared" ca="1" si="12"/>
        <v>2</v>
      </c>
      <c r="F78">
        <f t="shared" ca="1" si="13"/>
        <v>10</v>
      </c>
      <c r="G78">
        <f t="shared" ca="1" si="14"/>
        <v>28037</v>
      </c>
      <c r="H78" s="8">
        <f ca="1">Table2[[#This Row],[Meetings]]/Table2[[#This Row],[Calls]]</f>
        <v>0.25688073394495414</v>
      </c>
      <c r="I78" s="10">
        <f ca="1">Table2[[#This Row],[Proposals]]/Table2[[#This Row],[Meetings]]</f>
        <v>7.1428571428571425E-2</v>
      </c>
      <c r="J78" s="10">
        <f ca="1">Table2[[#This Row],[Sales]]/Table2[[#This Row],[Proposals]]</f>
        <v>5</v>
      </c>
      <c r="K78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78">
        <f>MONTH(DATEVALUE("1-" &amp; Table2[[#This Row],[Month]] &amp; "-2024"))</f>
        <v>5</v>
      </c>
    </row>
    <row r="79" spans="1:12" x14ac:dyDescent="0.35">
      <c r="A79" t="s">
        <v>73</v>
      </c>
      <c r="B79" t="s">
        <v>337</v>
      </c>
      <c r="C79">
        <f t="shared" ca="1" si="10"/>
        <v>153</v>
      </c>
      <c r="D79">
        <f t="shared" ca="1" si="11"/>
        <v>47</v>
      </c>
      <c r="E79">
        <f t="shared" ca="1" si="12"/>
        <v>9</v>
      </c>
      <c r="F79">
        <f t="shared" ca="1" si="13"/>
        <v>10</v>
      </c>
      <c r="G79">
        <f t="shared" ca="1" si="14"/>
        <v>25817</v>
      </c>
      <c r="H79" s="8">
        <f ca="1">Table2[[#This Row],[Meetings]]/Table2[[#This Row],[Calls]]</f>
        <v>0.30718954248366015</v>
      </c>
      <c r="I79" s="10">
        <f ca="1">Table2[[#This Row],[Proposals]]/Table2[[#This Row],[Meetings]]</f>
        <v>0.19148936170212766</v>
      </c>
      <c r="J79" s="10">
        <f ca="1">Table2[[#This Row],[Sales]]/Table2[[#This Row],[Proposals]]</f>
        <v>1.1111111111111112</v>
      </c>
      <c r="K79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79">
        <f>MONTH(DATEVALUE("1-" &amp; Table2[[#This Row],[Month]] &amp; "-2024"))</f>
        <v>6</v>
      </c>
    </row>
    <row r="80" spans="1:12" x14ac:dyDescent="0.35">
      <c r="A80" t="s">
        <v>76</v>
      </c>
      <c r="B80" t="s">
        <v>338</v>
      </c>
      <c r="C80">
        <f t="shared" ca="1" si="10"/>
        <v>148</v>
      </c>
      <c r="D80">
        <f t="shared" ca="1" si="11"/>
        <v>38</v>
      </c>
      <c r="E80">
        <f t="shared" ca="1" si="12"/>
        <v>24</v>
      </c>
      <c r="F80">
        <f t="shared" ca="1" si="13"/>
        <v>8</v>
      </c>
      <c r="G80">
        <f t="shared" ca="1" si="14"/>
        <v>21146</v>
      </c>
      <c r="H80" s="8">
        <f ca="1">Table2[[#This Row],[Meetings]]/Table2[[#This Row],[Calls]]</f>
        <v>0.25675675675675674</v>
      </c>
      <c r="I80" s="10">
        <f ca="1">Table2[[#This Row],[Proposals]]/Table2[[#This Row],[Meetings]]</f>
        <v>0.63157894736842102</v>
      </c>
      <c r="J80" s="10">
        <f ca="1">Table2[[#This Row],[Sales]]/Table2[[#This Row],[Proposals]]</f>
        <v>0.33333333333333331</v>
      </c>
      <c r="K80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80">
        <f>MONTH(DATEVALUE("1-" &amp; Table2[[#This Row],[Month]] &amp; "-2024"))</f>
        <v>7</v>
      </c>
    </row>
    <row r="81" spans="1:12" x14ac:dyDescent="0.35">
      <c r="A81" t="s">
        <v>79</v>
      </c>
      <c r="B81" t="s">
        <v>316</v>
      </c>
      <c r="C81">
        <f t="shared" ca="1" si="10"/>
        <v>124</v>
      </c>
      <c r="D81">
        <f t="shared" ca="1" si="11"/>
        <v>25</v>
      </c>
      <c r="E81">
        <f t="shared" ca="1" si="12"/>
        <v>17</v>
      </c>
      <c r="F81">
        <f t="shared" ca="1" si="13"/>
        <v>15</v>
      </c>
      <c r="G81">
        <f t="shared" ca="1" si="14"/>
        <v>46335</v>
      </c>
      <c r="H81" s="8">
        <f ca="1">Table2[[#This Row],[Meetings]]/Table2[[#This Row],[Calls]]</f>
        <v>0.20161290322580644</v>
      </c>
      <c r="I81" s="10">
        <f ca="1">Table2[[#This Row],[Proposals]]/Table2[[#This Row],[Meetings]]</f>
        <v>0.68</v>
      </c>
      <c r="J81" s="10">
        <f ca="1">Table2[[#This Row],[Sales]]/Table2[[#This Row],[Proposals]]</f>
        <v>0.88235294117647056</v>
      </c>
      <c r="K81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81">
        <f>MONTH(DATEVALUE("1-" &amp; Table2[[#This Row],[Month]] &amp; "-2024"))</f>
        <v>8</v>
      </c>
    </row>
    <row r="82" spans="1:12" x14ac:dyDescent="0.35">
      <c r="A82" t="s">
        <v>81</v>
      </c>
      <c r="B82" t="s">
        <v>317</v>
      </c>
      <c r="C82">
        <f t="shared" ca="1" si="10"/>
        <v>96</v>
      </c>
      <c r="D82">
        <f t="shared" ca="1" si="11"/>
        <v>36</v>
      </c>
      <c r="E82">
        <f t="shared" ca="1" si="12"/>
        <v>11</v>
      </c>
      <c r="F82">
        <f t="shared" ca="1" si="13"/>
        <v>11</v>
      </c>
      <c r="G82">
        <f t="shared" ca="1" si="14"/>
        <v>42934</v>
      </c>
      <c r="H82" s="8">
        <f ca="1">Table2[[#This Row],[Meetings]]/Table2[[#This Row],[Calls]]</f>
        <v>0.375</v>
      </c>
      <c r="I82" s="10">
        <f ca="1">Table2[[#This Row],[Proposals]]/Table2[[#This Row],[Meetings]]</f>
        <v>0.30555555555555558</v>
      </c>
      <c r="J82" s="10">
        <f ca="1">Table2[[#This Row],[Sales]]/Table2[[#This Row],[Proposals]]</f>
        <v>1</v>
      </c>
      <c r="K82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82">
        <f>MONTH(DATEVALUE("1-" &amp; Table2[[#This Row],[Month]] &amp; "-2024"))</f>
        <v>9</v>
      </c>
    </row>
    <row r="83" spans="1:12" x14ac:dyDescent="0.35">
      <c r="A83" t="s">
        <v>84</v>
      </c>
      <c r="B83" t="s">
        <v>318</v>
      </c>
      <c r="C83">
        <f t="shared" ca="1" si="10"/>
        <v>93</v>
      </c>
      <c r="D83">
        <f t="shared" ca="1" si="11"/>
        <v>47</v>
      </c>
      <c r="E83">
        <f t="shared" ca="1" si="12"/>
        <v>5</v>
      </c>
      <c r="F83">
        <f t="shared" ca="1" si="13"/>
        <v>13</v>
      </c>
      <c r="G83">
        <f t="shared" ca="1" si="14"/>
        <v>36081</v>
      </c>
      <c r="H83" s="8">
        <f ca="1">Table2[[#This Row],[Meetings]]/Table2[[#This Row],[Calls]]</f>
        <v>0.5053763440860215</v>
      </c>
      <c r="I83" s="10">
        <f ca="1">Table2[[#This Row],[Proposals]]/Table2[[#This Row],[Meetings]]</f>
        <v>0.10638297872340426</v>
      </c>
      <c r="J83" s="10">
        <f ca="1">Table2[[#This Row],[Sales]]/Table2[[#This Row],[Proposals]]</f>
        <v>2.6</v>
      </c>
      <c r="K83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83">
        <f>MONTH(DATEVALUE("1-" &amp; Table2[[#This Row],[Month]] &amp; "-2024"))</f>
        <v>10</v>
      </c>
    </row>
    <row r="84" spans="1:12" x14ac:dyDescent="0.35">
      <c r="A84" t="s">
        <v>86</v>
      </c>
      <c r="B84" t="s">
        <v>319</v>
      </c>
      <c r="C84">
        <f t="shared" ca="1" si="10"/>
        <v>70</v>
      </c>
      <c r="D84">
        <f t="shared" ca="1" si="11"/>
        <v>19</v>
      </c>
      <c r="E84">
        <f t="shared" ca="1" si="12"/>
        <v>8</v>
      </c>
      <c r="F84">
        <f t="shared" ca="1" si="13"/>
        <v>1</v>
      </c>
      <c r="G84">
        <f t="shared" ca="1" si="14"/>
        <v>36891</v>
      </c>
      <c r="H84" s="8">
        <f ca="1">Table2[[#This Row],[Meetings]]/Table2[[#This Row],[Calls]]</f>
        <v>0.27142857142857141</v>
      </c>
      <c r="I84" s="10">
        <f ca="1">Table2[[#This Row],[Proposals]]/Table2[[#This Row],[Meetings]]</f>
        <v>0.42105263157894735</v>
      </c>
      <c r="J84" s="10">
        <f ca="1">Table2[[#This Row],[Sales]]/Table2[[#This Row],[Proposals]]</f>
        <v>0.125</v>
      </c>
      <c r="K84" t="str">
        <f ca="1">IF(Table2[[#This Row],[Meeting Rate]]&lt;0.2,"Poor Communication",IF(Table2[[#This Row],[Proposal Rate]]&lt;0.3,"Poor Closing",IF(Table2[[#This Row],[Sales Conversion]]&lt;0.3,"Poor Pitching","Strong Performer")))</f>
        <v>Poor Pitching</v>
      </c>
      <c r="L84">
        <f>MONTH(DATEVALUE("1-" &amp; Table2[[#This Row],[Month]] &amp; "-2024"))</f>
        <v>11</v>
      </c>
    </row>
    <row r="85" spans="1:12" x14ac:dyDescent="0.35">
      <c r="A85" t="s">
        <v>88</v>
      </c>
      <c r="B85" t="s">
        <v>320</v>
      </c>
      <c r="C85">
        <f t="shared" ca="1" si="10"/>
        <v>122</v>
      </c>
      <c r="D85">
        <f t="shared" ca="1" si="11"/>
        <v>21</v>
      </c>
      <c r="E85">
        <f t="shared" ca="1" si="12"/>
        <v>17</v>
      </c>
      <c r="F85">
        <f t="shared" ca="1" si="13"/>
        <v>1</v>
      </c>
      <c r="G85">
        <f t="shared" ca="1" si="14"/>
        <v>16540</v>
      </c>
      <c r="H85" s="8">
        <f ca="1">Table2[[#This Row],[Meetings]]/Table2[[#This Row],[Calls]]</f>
        <v>0.1721311475409836</v>
      </c>
      <c r="I85" s="10">
        <f ca="1">Table2[[#This Row],[Proposals]]/Table2[[#This Row],[Meetings]]</f>
        <v>0.80952380952380953</v>
      </c>
      <c r="J85" s="10">
        <f ca="1">Table2[[#This Row],[Sales]]/Table2[[#This Row],[Proposals]]</f>
        <v>5.8823529411764705E-2</v>
      </c>
      <c r="K85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85">
        <f>MONTH(DATEVALUE("1-" &amp; Table2[[#This Row],[Month]] &amp; "-2024"))</f>
        <v>12</v>
      </c>
    </row>
    <row r="86" spans="1:12" x14ac:dyDescent="0.35">
      <c r="A86" t="s">
        <v>90</v>
      </c>
      <c r="B86" t="s">
        <v>311</v>
      </c>
      <c r="C86">
        <f t="shared" ca="1" si="10"/>
        <v>114</v>
      </c>
      <c r="D86">
        <f t="shared" ca="1" si="11"/>
        <v>19</v>
      </c>
      <c r="E86">
        <f t="shared" ca="1" si="12"/>
        <v>11</v>
      </c>
      <c r="F86">
        <f t="shared" ca="1" si="13"/>
        <v>10</v>
      </c>
      <c r="G86">
        <f t="shared" ca="1" si="14"/>
        <v>47814</v>
      </c>
      <c r="H86" s="8">
        <f ca="1">Table2[[#This Row],[Meetings]]/Table2[[#This Row],[Calls]]</f>
        <v>0.16666666666666666</v>
      </c>
      <c r="I86" s="10">
        <f ca="1">Table2[[#This Row],[Proposals]]/Table2[[#This Row],[Meetings]]</f>
        <v>0.57894736842105265</v>
      </c>
      <c r="J86" s="10">
        <f ca="1">Table2[[#This Row],[Sales]]/Table2[[#This Row],[Proposals]]</f>
        <v>0.90909090909090906</v>
      </c>
      <c r="K86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86">
        <f>MONTH(DATEVALUE("1-" &amp; Table2[[#This Row],[Month]] &amp; "-2024"))</f>
        <v>1</v>
      </c>
    </row>
    <row r="87" spans="1:12" x14ac:dyDescent="0.35">
      <c r="A87" t="s">
        <v>92</v>
      </c>
      <c r="B87" t="s">
        <v>312</v>
      </c>
      <c r="C87">
        <f t="shared" ca="1" si="10"/>
        <v>160</v>
      </c>
      <c r="D87">
        <f t="shared" ca="1" si="11"/>
        <v>14</v>
      </c>
      <c r="E87">
        <f t="shared" ca="1" si="12"/>
        <v>20</v>
      </c>
      <c r="F87">
        <f t="shared" ca="1" si="13"/>
        <v>10</v>
      </c>
      <c r="G87">
        <f t="shared" ca="1" si="14"/>
        <v>30046</v>
      </c>
      <c r="H87" s="8">
        <f ca="1">Table2[[#This Row],[Meetings]]/Table2[[#This Row],[Calls]]</f>
        <v>8.7499999999999994E-2</v>
      </c>
      <c r="I87" s="10">
        <f ca="1">Table2[[#This Row],[Proposals]]/Table2[[#This Row],[Meetings]]</f>
        <v>1.4285714285714286</v>
      </c>
      <c r="J87" s="10">
        <f ca="1">Table2[[#This Row],[Sales]]/Table2[[#This Row],[Proposals]]</f>
        <v>0.5</v>
      </c>
      <c r="K87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87">
        <f>MONTH(DATEVALUE("1-" &amp; Table2[[#This Row],[Month]] &amp; "-2024"))</f>
        <v>2</v>
      </c>
    </row>
    <row r="88" spans="1:12" x14ac:dyDescent="0.35">
      <c r="A88" t="s">
        <v>94</v>
      </c>
      <c r="B88" t="s">
        <v>313</v>
      </c>
      <c r="C88">
        <f t="shared" ca="1" si="10"/>
        <v>132</v>
      </c>
      <c r="D88">
        <f t="shared" ca="1" si="11"/>
        <v>50</v>
      </c>
      <c r="E88">
        <f t="shared" ca="1" si="12"/>
        <v>13</v>
      </c>
      <c r="F88">
        <f t="shared" ca="1" si="13"/>
        <v>14</v>
      </c>
      <c r="G88">
        <f t="shared" ca="1" si="14"/>
        <v>57915</v>
      </c>
      <c r="H88" s="8">
        <f ca="1">Table2[[#This Row],[Meetings]]/Table2[[#This Row],[Calls]]</f>
        <v>0.37878787878787878</v>
      </c>
      <c r="I88" s="10">
        <f ca="1">Table2[[#This Row],[Proposals]]/Table2[[#This Row],[Meetings]]</f>
        <v>0.26</v>
      </c>
      <c r="J88" s="10">
        <f ca="1">Table2[[#This Row],[Sales]]/Table2[[#This Row],[Proposals]]</f>
        <v>1.0769230769230769</v>
      </c>
      <c r="K88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88">
        <f>MONTH(DATEVALUE("1-" &amp; Table2[[#This Row],[Month]] &amp; "-2024"))</f>
        <v>3</v>
      </c>
    </row>
    <row r="89" spans="1:12" x14ac:dyDescent="0.35">
      <c r="A89" t="s">
        <v>96</v>
      </c>
      <c r="B89" t="s">
        <v>314</v>
      </c>
      <c r="C89">
        <f t="shared" ca="1" si="10"/>
        <v>116</v>
      </c>
      <c r="D89">
        <f t="shared" ca="1" si="11"/>
        <v>12</v>
      </c>
      <c r="E89">
        <f t="shared" ca="1" si="12"/>
        <v>24</v>
      </c>
      <c r="F89">
        <f t="shared" ca="1" si="13"/>
        <v>3</v>
      </c>
      <c r="G89">
        <f t="shared" ca="1" si="14"/>
        <v>16685</v>
      </c>
      <c r="H89" s="8">
        <f ca="1">Table2[[#This Row],[Meetings]]/Table2[[#This Row],[Calls]]</f>
        <v>0.10344827586206896</v>
      </c>
      <c r="I89" s="10">
        <f ca="1">Table2[[#This Row],[Proposals]]/Table2[[#This Row],[Meetings]]</f>
        <v>2</v>
      </c>
      <c r="J89" s="10">
        <f ca="1">Table2[[#This Row],[Sales]]/Table2[[#This Row],[Proposals]]</f>
        <v>0.125</v>
      </c>
      <c r="K89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89">
        <f>MONTH(DATEVALUE("1-" &amp; Table2[[#This Row],[Month]] &amp; "-2024"))</f>
        <v>4</v>
      </c>
    </row>
    <row r="90" spans="1:12" x14ac:dyDescent="0.35">
      <c r="A90" t="s">
        <v>98</v>
      </c>
      <c r="B90" t="s">
        <v>315</v>
      </c>
      <c r="C90">
        <f t="shared" ca="1" si="10"/>
        <v>150</v>
      </c>
      <c r="D90">
        <f t="shared" ca="1" si="11"/>
        <v>37</v>
      </c>
      <c r="E90">
        <f t="shared" ca="1" si="12"/>
        <v>7</v>
      </c>
      <c r="F90">
        <f t="shared" ca="1" si="13"/>
        <v>6</v>
      </c>
      <c r="G90">
        <f t="shared" ca="1" si="14"/>
        <v>55523</v>
      </c>
      <c r="H90" s="8">
        <f ca="1">Table2[[#This Row],[Meetings]]/Table2[[#This Row],[Calls]]</f>
        <v>0.24666666666666667</v>
      </c>
      <c r="I90" s="10">
        <f ca="1">Table2[[#This Row],[Proposals]]/Table2[[#This Row],[Meetings]]</f>
        <v>0.1891891891891892</v>
      </c>
      <c r="J90" s="10">
        <f ca="1">Table2[[#This Row],[Sales]]/Table2[[#This Row],[Proposals]]</f>
        <v>0.8571428571428571</v>
      </c>
      <c r="K90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90">
        <f>MONTH(DATEVALUE("1-" &amp; Table2[[#This Row],[Month]] &amp; "-2024"))</f>
        <v>5</v>
      </c>
    </row>
    <row r="91" spans="1:12" x14ac:dyDescent="0.35">
      <c r="A91" t="s">
        <v>100</v>
      </c>
      <c r="B91" t="s">
        <v>337</v>
      </c>
      <c r="C91">
        <f t="shared" ca="1" si="10"/>
        <v>124</v>
      </c>
      <c r="D91">
        <f t="shared" ca="1" si="11"/>
        <v>38</v>
      </c>
      <c r="E91">
        <f t="shared" ca="1" si="12"/>
        <v>8</v>
      </c>
      <c r="F91">
        <f t="shared" ca="1" si="13"/>
        <v>2</v>
      </c>
      <c r="G91">
        <f t="shared" ca="1" si="14"/>
        <v>44848</v>
      </c>
      <c r="H91" s="8">
        <f ca="1">Table2[[#This Row],[Meetings]]/Table2[[#This Row],[Calls]]</f>
        <v>0.30645161290322581</v>
      </c>
      <c r="I91" s="10">
        <f ca="1">Table2[[#This Row],[Proposals]]/Table2[[#This Row],[Meetings]]</f>
        <v>0.21052631578947367</v>
      </c>
      <c r="J91" s="10">
        <f ca="1">Table2[[#This Row],[Sales]]/Table2[[#This Row],[Proposals]]</f>
        <v>0.25</v>
      </c>
      <c r="K91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91">
        <f>MONTH(DATEVALUE("1-" &amp; Table2[[#This Row],[Month]] &amp; "-2024"))</f>
        <v>6</v>
      </c>
    </row>
    <row r="92" spans="1:12" x14ac:dyDescent="0.35">
      <c r="A92" t="s">
        <v>7</v>
      </c>
      <c r="B92" t="s">
        <v>338</v>
      </c>
      <c r="C92">
        <f t="shared" ca="1" si="10"/>
        <v>134</v>
      </c>
      <c r="D92">
        <f t="shared" ca="1" si="11"/>
        <v>18</v>
      </c>
      <c r="E92">
        <f t="shared" ca="1" si="12"/>
        <v>2</v>
      </c>
      <c r="F92">
        <f t="shared" ca="1" si="13"/>
        <v>10</v>
      </c>
      <c r="G92">
        <f t="shared" ca="1" si="14"/>
        <v>50314</v>
      </c>
      <c r="H92" s="8">
        <f ca="1">Table2[[#This Row],[Meetings]]/Table2[[#This Row],[Calls]]</f>
        <v>0.13432835820895522</v>
      </c>
      <c r="I92" s="10">
        <f ca="1">Table2[[#This Row],[Proposals]]/Table2[[#This Row],[Meetings]]</f>
        <v>0.1111111111111111</v>
      </c>
      <c r="J92" s="10">
        <f ca="1">Table2[[#This Row],[Sales]]/Table2[[#This Row],[Proposals]]</f>
        <v>5</v>
      </c>
      <c r="K92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92">
        <f>MONTH(DATEVALUE("1-" &amp; Table2[[#This Row],[Month]] &amp; "-2024"))</f>
        <v>7</v>
      </c>
    </row>
    <row r="93" spans="1:12" x14ac:dyDescent="0.35">
      <c r="A93" t="s">
        <v>14</v>
      </c>
      <c r="B93" t="s">
        <v>316</v>
      </c>
      <c r="C93">
        <f t="shared" ca="1" si="10"/>
        <v>84</v>
      </c>
      <c r="D93">
        <f t="shared" ca="1" si="11"/>
        <v>9</v>
      </c>
      <c r="E93">
        <f t="shared" ca="1" si="12"/>
        <v>10</v>
      </c>
      <c r="F93">
        <f t="shared" ca="1" si="13"/>
        <v>3</v>
      </c>
      <c r="G93">
        <f t="shared" ca="1" si="14"/>
        <v>30358</v>
      </c>
      <c r="H93" s="8">
        <f ca="1">Table2[[#This Row],[Meetings]]/Table2[[#This Row],[Calls]]</f>
        <v>0.10714285714285714</v>
      </c>
      <c r="I93" s="10">
        <f ca="1">Table2[[#This Row],[Proposals]]/Table2[[#This Row],[Meetings]]</f>
        <v>1.1111111111111112</v>
      </c>
      <c r="J93" s="10">
        <f ca="1">Table2[[#This Row],[Sales]]/Table2[[#This Row],[Proposals]]</f>
        <v>0.3</v>
      </c>
      <c r="K93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93">
        <f>MONTH(DATEVALUE("1-" &amp; Table2[[#This Row],[Month]] &amp; "-2024"))</f>
        <v>8</v>
      </c>
    </row>
    <row r="94" spans="1:12" x14ac:dyDescent="0.35">
      <c r="A94" t="s">
        <v>21</v>
      </c>
      <c r="B94" t="s">
        <v>317</v>
      </c>
      <c r="C94">
        <f t="shared" ca="1" si="10"/>
        <v>132</v>
      </c>
      <c r="D94">
        <f t="shared" ca="1" si="11"/>
        <v>15</v>
      </c>
      <c r="E94">
        <f t="shared" ca="1" si="12"/>
        <v>20</v>
      </c>
      <c r="F94">
        <f t="shared" ca="1" si="13"/>
        <v>13</v>
      </c>
      <c r="G94">
        <f t="shared" ca="1" si="14"/>
        <v>50098</v>
      </c>
      <c r="H94" s="8">
        <f ca="1">Table2[[#This Row],[Meetings]]/Table2[[#This Row],[Calls]]</f>
        <v>0.11363636363636363</v>
      </c>
      <c r="I94" s="10">
        <f ca="1">Table2[[#This Row],[Proposals]]/Table2[[#This Row],[Meetings]]</f>
        <v>1.3333333333333333</v>
      </c>
      <c r="J94" s="10">
        <f ca="1">Table2[[#This Row],[Sales]]/Table2[[#This Row],[Proposals]]</f>
        <v>0.65</v>
      </c>
      <c r="K94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94">
        <f>MONTH(DATEVALUE("1-" &amp; Table2[[#This Row],[Month]] &amp; "-2024"))</f>
        <v>9</v>
      </c>
    </row>
    <row r="95" spans="1:12" x14ac:dyDescent="0.35">
      <c r="A95" t="s">
        <v>24</v>
      </c>
      <c r="B95" t="s">
        <v>318</v>
      </c>
      <c r="C95">
        <f t="shared" ca="1" si="10"/>
        <v>86</v>
      </c>
      <c r="D95">
        <f t="shared" ca="1" si="11"/>
        <v>24</v>
      </c>
      <c r="E95">
        <f t="shared" ca="1" si="12"/>
        <v>18</v>
      </c>
      <c r="F95">
        <f t="shared" ca="1" si="13"/>
        <v>15</v>
      </c>
      <c r="G95">
        <f t="shared" ca="1" si="14"/>
        <v>11013</v>
      </c>
      <c r="H95" s="8">
        <f ca="1">Table2[[#This Row],[Meetings]]/Table2[[#This Row],[Calls]]</f>
        <v>0.27906976744186046</v>
      </c>
      <c r="I95" s="10">
        <f ca="1">Table2[[#This Row],[Proposals]]/Table2[[#This Row],[Meetings]]</f>
        <v>0.75</v>
      </c>
      <c r="J95" s="10">
        <f ca="1">Table2[[#This Row],[Sales]]/Table2[[#This Row],[Proposals]]</f>
        <v>0.83333333333333337</v>
      </c>
      <c r="K95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95">
        <f>MONTH(DATEVALUE("1-" &amp; Table2[[#This Row],[Month]] &amp; "-2024"))</f>
        <v>10</v>
      </c>
    </row>
    <row r="96" spans="1:12" x14ac:dyDescent="0.35">
      <c r="A96" t="s">
        <v>28</v>
      </c>
      <c r="B96" t="s">
        <v>319</v>
      </c>
      <c r="C96">
        <f t="shared" ca="1" si="10"/>
        <v>112</v>
      </c>
      <c r="D96">
        <f t="shared" ca="1" si="11"/>
        <v>7</v>
      </c>
      <c r="E96">
        <f t="shared" ca="1" si="12"/>
        <v>8</v>
      </c>
      <c r="F96">
        <f t="shared" ca="1" si="13"/>
        <v>7</v>
      </c>
      <c r="G96">
        <f t="shared" ca="1" si="14"/>
        <v>48395</v>
      </c>
      <c r="H96" s="8">
        <f ca="1">Table2[[#This Row],[Meetings]]/Table2[[#This Row],[Calls]]</f>
        <v>6.25E-2</v>
      </c>
      <c r="I96" s="10">
        <f ca="1">Table2[[#This Row],[Proposals]]/Table2[[#This Row],[Meetings]]</f>
        <v>1.1428571428571428</v>
      </c>
      <c r="J96" s="10">
        <f ca="1">Table2[[#This Row],[Sales]]/Table2[[#This Row],[Proposals]]</f>
        <v>0.875</v>
      </c>
      <c r="K96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96">
        <f>MONTH(DATEVALUE("1-" &amp; Table2[[#This Row],[Month]] &amp; "-2024"))</f>
        <v>11</v>
      </c>
    </row>
    <row r="97" spans="1:12" x14ac:dyDescent="0.35">
      <c r="A97" t="s">
        <v>33</v>
      </c>
      <c r="B97" t="s">
        <v>320</v>
      </c>
      <c r="C97">
        <f t="shared" ca="1" si="10"/>
        <v>72</v>
      </c>
      <c r="D97">
        <f t="shared" ca="1" si="11"/>
        <v>9</v>
      </c>
      <c r="E97">
        <f t="shared" ca="1" si="12"/>
        <v>11</v>
      </c>
      <c r="F97">
        <f t="shared" ca="1" si="13"/>
        <v>5</v>
      </c>
      <c r="G97">
        <f t="shared" ca="1" si="14"/>
        <v>36548</v>
      </c>
      <c r="H97" s="8">
        <f ca="1">Table2[[#This Row],[Meetings]]/Table2[[#This Row],[Calls]]</f>
        <v>0.125</v>
      </c>
      <c r="I97" s="10">
        <f ca="1">Table2[[#This Row],[Proposals]]/Table2[[#This Row],[Meetings]]</f>
        <v>1.2222222222222223</v>
      </c>
      <c r="J97" s="10">
        <f ca="1">Table2[[#This Row],[Sales]]/Table2[[#This Row],[Proposals]]</f>
        <v>0.45454545454545453</v>
      </c>
      <c r="K97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97">
        <f>MONTH(DATEVALUE("1-" &amp; Table2[[#This Row],[Month]] &amp; "-2024"))</f>
        <v>12</v>
      </c>
    </row>
    <row r="98" spans="1:12" x14ac:dyDescent="0.35">
      <c r="A98" t="s">
        <v>38</v>
      </c>
      <c r="B98" t="s">
        <v>311</v>
      </c>
      <c r="C98">
        <f t="shared" ref="C98:C131" ca="1" si="15">RANDBETWEEN(70,160)</f>
        <v>148</v>
      </c>
      <c r="D98">
        <f t="shared" ref="D98:D131" ca="1" si="16">RANDBETWEEN(5,50)</f>
        <v>40</v>
      </c>
      <c r="E98">
        <f t="shared" ref="E98:E131" ca="1" si="17">RANDBETWEEN(2,25)</f>
        <v>17</v>
      </c>
      <c r="F98">
        <f t="shared" ref="F98:F131" ca="1" si="18">RANDBETWEEN(1,15)</f>
        <v>2</v>
      </c>
      <c r="G98">
        <f t="shared" ref="G98:G131" ca="1" si="19">RANDBETWEEN(8000,60000)</f>
        <v>21968</v>
      </c>
      <c r="H98" s="8">
        <f ca="1">Table2[[#This Row],[Meetings]]/Table2[[#This Row],[Calls]]</f>
        <v>0.27027027027027029</v>
      </c>
      <c r="I98" s="10">
        <f ca="1">Table2[[#This Row],[Proposals]]/Table2[[#This Row],[Meetings]]</f>
        <v>0.42499999999999999</v>
      </c>
      <c r="J98" s="10">
        <f ca="1">Table2[[#This Row],[Sales]]/Table2[[#This Row],[Proposals]]</f>
        <v>0.11764705882352941</v>
      </c>
      <c r="K98" t="str">
        <f ca="1">IF(Table2[[#This Row],[Meeting Rate]]&lt;0.2,"Poor Communication",IF(Table2[[#This Row],[Proposal Rate]]&lt;0.3,"Poor Closing",IF(Table2[[#This Row],[Sales Conversion]]&lt;0.3,"Poor Pitching","Strong Performer")))</f>
        <v>Poor Pitching</v>
      </c>
      <c r="L98">
        <f>MONTH(DATEVALUE("1-" &amp; Table2[[#This Row],[Month]] &amp; "-2024"))</f>
        <v>1</v>
      </c>
    </row>
    <row r="99" spans="1:12" x14ac:dyDescent="0.35">
      <c r="A99" t="s">
        <v>42</v>
      </c>
      <c r="B99" t="s">
        <v>312</v>
      </c>
      <c r="C99">
        <f t="shared" ca="1" si="15"/>
        <v>137</v>
      </c>
      <c r="D99">
        <f t="shared" ca="1" si="16"/>
        <v>15</v>
      </c>
      <c r="E99">
        <f t="shared" ca="1" si="17"/>
        <v>20</v>
      </c>
      <c r="F99">
        <f t="shared" ca="1" si="18"/>
        <v>12</v>
      </c>
      <c r="G99">
        <f t="shared" ca="1" si="19"/>
        <v>39499</v>
      </c>
      <c r="H99" s="8">
        <f ca="1">Table2[[#This Row],[Meetings]]/Table2[[#This Row],[Calls]]</f>
        <v>0.10948905109489052</v>
      </c>
      <c r="I99" s="10">
        <f ca="1">Table2[[#This Row],[Proposals]]/Table2[[#This Row],[Meetings]]</f>
        <v>1.3333333333333333</v>
      </c>
      <c r="J99" s="10">
        <f ca="1">Table2[[#This Row],[Sales]]/Table2[[#This Row],[Proposals]]</f>
        <v>0.6</v>
      </c>
      <c r="K99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99">
        <f>MONTH(DATEVALUE("1-" &amp; Table2[[#This Row],[Month]] &amp; "-2024"))</f>
        <v>2</v>
      </c>
    </row>
    <row r="100" spans="1:12" x14ac:dyDescent="0.35">
      <c r="A100" t="s">
        <v>45</v>
      </c>
      <c r="B100" t="s">
        <v>313</v>
      </c>
      <c r="C100">
        <f t="shared" ca="1" si="15"/>
        <v>151</v>
      </c>
      <c r="D100">
        <f t="shared" ca="1" si="16"/>
        <v>28</v>
      </c>
      <c r="E100">
        <f t="shared" ca="1" si="17"/>
        <v>14</v>
      </c>
      <c r="F100">
        <f t="shared" ca="1" si="18"/>
        <v>9</v>
      </c>
      <c r="G100">
        <f t="shared" ca="1" si="19"/>
        <v>22208</v>
      </c>
      <c r="H100" s="8">
        <f ca="1">Table2[[#This Row],[Meetings]]/Table2[[#This Row],[Calls]]</f>
        <v>0.18543046357615894</v>
      </c>
      <c r="I100" s="10">
        <f ca="1">Table2[[#This Row],[Proposals]]/Table2[[#This Row],[Meetings]]</f>
        <v>0.5</v>
      </c>
      <c r="J100" s="10">
        <f ca="1">Table2[[#This Row],[Sales]]/Table2[[#This Row],[Proposals]]</f>
        <v>0.6428571428571429</v>
      </c>
      <c r="K100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100">
        <f>MONTH(DATEVALUE("1-" &amp; Table2[[#This Row],[Month]] &amp; "-2024"))</f>
        <v>3</v>
      </c>
    </row>
    <row r="101" spans="1:12" x14ac:dyDescent="0.35">
      <c r="A101" t="s">
        <v>49</v>
      </c>
      <c r="B101" t="s">
        <v>314</v>
      </c>
      <c r="C101">
        <f t="shared" ca="1" si="15"/>
        <v>131</v>
      </c>
      <c r="D101">
        <f t="shared" ca="1" si="16"/>
        <v>40</v>
      </c>
      <c r="E101">
        <f t="shared" ca="1" si="17"/>
        <v>6</v>
      </c>
      <c r="F101">
        <f t="shared" ca="1" si="18"/>
        <v>4</v>
      </c>
      <c r="G101">
        <f t="shared" ca="1" si="19"/>
        <v>14348</v>
      </c>
      <c r="H101" s="8">
        <f ca="1">Table2[[#This Row],[Meetings]]/Table2[[#This Row],[Calls]]</f>
        <v>0.30534351145038169</v>
      </c>
      <c r="I101" s="10">
        <f ca="1">Table2[[#This Row],[Proposals]]/Table2[[#This Row],[Meetings]]</f>
        <v>0.15</v>
      </c>
      <c r="J101" s="10">
        <f ca="1">Table2[[#This Row],[Sales]]/Table2[[#This Row],[Proposals]]</f>
        <v>0.66666666666666663</v>
      </c>
      <c r="K101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101">
        <f>MONTH(DATEVALUE("1-" &amp; Table2[[#This Row],[Month]] &amp; "-2024"))</f>
        <v>4</v>
      </c>
    </row>
    <row r="102" spans="1:12" x14ac:dyDescent="0.35">
      <c r="A102" t="s">
        <v>52</v>
      </c>
      <c r="B102" t="s">
        <v>315</v>
      </c>
      <c r="C102">
        <f t="shared" ca="1" si="15"/>
        <v>144</v>
      </c>
      <c r="D102">
        <f t="shared" ca="1" si="16"/>
        <v>48</v>
      </c>
      <c r="E102">
        <f t="shared" ca="1" si="17"/>
        <v>19</v>
      </c>
      <c r="F102">
        <f t="shared" ca="1" si="18"/>
        <v>10</v>
      </c>
      <c r="G102">
        <f t="shared" ca="1" si="19"/>
        <v>39877</v>
      </c>
      <c r="H102" s="8">
        <f ca="1">Table2[[#This Row],[Meetings]]/Table2[[#This Row],[Calls]]</f>
        <v>0.33333333333333331</v>
      </c>
      <c r="I102" s="10">
        <f ca="1">Table2[[#This Row],[Proposals]]/Table2[[#This Row],[Meetings]]</f>
        <v>0.39583333333333331</v>
      </c>
      <c r="J102" s="10">
        <f ca="1">Table2[[#This Row],[Sales]]/Table2[[#This Row],[Proposals]]</f>
        <v>0.52631578947368418</v>
      </c>
      <c r="K102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102">
        <f>MONTH(DATEVALUE("1-" &amp; Table2[[#This Row],[Month]] &amp; "-2024"))</f>
        <v>5</v>
      </c>
    </row>
    <row r="103" spans="1:12" x14ac:dyDescent="0.35">
      <c r="A103" t="s">
        <v>54</v>
      </c>
      <c r="B103" t="s">
        <v>337</v>
      </c>
      <c r="C103">
        <f t="shared" ca="1" si="15"/>
        <v>105</v>
      </c>
      <c r="D103">
        <f t="shared" ca="1" si="16"/>
        <v>23</v>
      </c>
      <c r="E103">
        <f t="shared" ca="1" si="17"/>
        <v>23</v>
      </c>
      <c r="F103">
        <f t="shared" ca="1" si="18"/>
        <v>11</v>
      </c>
      <c r="G103">
        <f t="shared" ca="1" si="19"/>
        <v>32187</v>
      </c>
      <c r="H103" s="8">
        <f ca="1">Table2[[#This Row],[Meetings]]/Table2[[#This Row],[Calls]]</f>
        <v>0.21904761904761905</v>
      </c>
      <c r="I103" s="10">
        <f ca="1">Table2[[#This Row],[Proposals]]/Table2[[#This Row],[Meetings]]</f>
        <v>1</v>
      </c>
      <c r="J103" s="10">
        <f ca="1">Table2[[#This Row],[Sales]]/Table2[[#This Row],[Proposals]]</f>
        <v>0.47826086956521741</v>
      </c>
      <c r="K103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103">
        <f>MONTH(DATEVALUE("1-" &amp; Table2[[#This Row],[Month]] &amp; "-2024"))</f>
        <v>6</v>
      </c>
    </row>
    <row r="104" spans="1:12" x14ac:dyDescent="0.35">
      <c r="A104" t="s">
        <v>57</v>
      </c>
      <c r="B104" t="s">
        <v>338</v>
      </c>
      <c r="C104">
        <f t="shared" ca="1" si="15"/>
        <v>133</v>
      </c>
      <c r="D104">
        <f t="shared" ca="1" si="16"/>
        <v>48</v>
      </c>
      <c r="E104">
        <f t="shared" ca="1" si="17"/>
        <v>25</v>
      </c>
      <c r="F104">
        <f t="shared" ca="1" si="18"/>
        <v>2</v>
      </c>
      <c r="G104">
        <f t="shared" ca="1" si="19"/>
        <v>49125</v>
      </c>
      <c r="H104" s="8">
        <f ca="1">Table2[[#This Row],[Meetings]]/Table2[[#This Row],[Calls]]</f>
        <v>0.36090225563909772</v>
      </c>
      <c r="I104" s="10">
        <f ca="1">Table2[[#This Row],[Proposals]]/Table2[[#This Row],[Meetings]]</f>
        <v>0.52083333333333337</v>
      </c>
      <c r="J104" s="10">
        <f ca="1">Table2[[#This Row],[Sales]]/Table2[[#This Row],[Proposals]]</f>
        <v>0.08</v>
      </c>
      <c r="K104" t="str">
        <f ca="1">IF(Table2[[#This Row],[Meeting Rate]]&lt;0.2,"Poor Communication",IF(Table2[[#This Row],[Proposal Rate]]&lt;0.3,"Poor Closing",IF(Table2[[#This Row],[Sales Conversion]]&lt;0.3,"Poor Pitching","Strong Performer")))</f>
        <v>Poor Pitching</v>
      </c>
      <c r="L104">
        <f>MONTH(DATEVALUE("1-" &amp; Table2[[#This Row],[Month]] &amp; "-2024"))</f>
        <v>7</v>
      </c>
    </row>
    <row r="105" spans="1:12" x14ac:dyDescent="0.35">
      <c r="A105" t="s">
        <v>60</v>
      </c>
      <c r="B105" t="s">
        <v>316</v>
      </c>
      <c r="C105">
        <f t="shared" ca="1" si="15"/>
        <v>117</v>
      </c>
      <c r="D105">
        <f t="shared" ca="1" si="16"/>
        <v>28</v>
      </c>
      <c r="E105">
        <f t="shared" ca="1" si="17"/>
        <v>14</v>
      </c>
      <c r="F105">
        <f t="shared" ca="1" si="18"/>
        <v>5</v>
      </c>
      <c r="G105">
        <f t="shared" ca="1" si="19"/>
        <v>8009</v>
      </c>
      <c r="H105" s="8">
        <f ca="1">Table2[[#This Row],[Meetings]]/Table2[[#This Row],[Calls]]</f>
        <v>0.23931623931623933</v>
      </c>
      <c r="I105" s="10">
        <f ca="1">Table2[[#This Row],[Proposals]]/Table2[[#This Row],[Meetings]]</f>
        <v>0.5</v>
      </c>
      <c r="J105" s="10">
        <f ca="1">Table2[[#This Row],[Sales]]/Table2[[#This Row],[Proposals]]</f>
        <v>0.35714285714285715</v>
      </c>
      <c r="K105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105">
        <f>MONTH(DATEVALUE("1-" &amp; Table2[[#This Row],[Month]] &amp; "-2024"))</f>
        <v>8</v>
      </c>
    </row>
    <row r="106" spans="1:12" x14ac:dyDescent="0.35">
      <c r="A106" t="s">
        <v>64</v>
      </c>
      <c r="B106" t="s">
        <v>317</v>
      </c>
      <c r="C106">
        <f t="shared" ca="1" si="15"/>
        <v>137</v>
      </c>
      <c r="D106">
        <f t="shared" ca="1" si="16"/>
        <v>37</v>
      </c>
      <c r="E106">
        <f t="shared" ca="1" si="17"/>
        <v>2</v>
      </c>
      <c r="F106">
        <f t="shared" ca="1" si="18"/>
        <v>1</v>
      </c>
      <c r="G106">
        <f t="shared" ca="1" si="19"/>
        <v>32762</v>
      </c>
      <c r="H106" s="8">
        <f ca="1">Table2[[#This Row],[Meetings]]/Table2[[#This Row],[Calls]]</f>
        <v>0.27007299270072993</v>
      </c>
      <c r="I106" s="10">
        <f ca="1">Table2[[#This Row],[Proposals]]/Table2[[#This Row],[Meetings]]</f>
        <v>5.4054054054054057E-2</v>
      </c>
      <c r="J106" s="10">
        <f ca="1">Table2[[#This Row],[Sales]]/Table2[[#This Row],[Proposals]]</f>
        <v>0.5</v>
      </c>
      <c r="K106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106">
        <f>MONTH(DATEVALUE("1-" &amp; Table2[[#This Row],[Month]] &amp; "-2024"))</f>
        <v>9</v>
      </c>
    </row>
    <row r="107" spans="1:12" x14ac:dyDescent="0.35">
      <c r="A107" t="s">
        <v>67</v>
      </c>
      <c r="B107" t="s">
        <v>318</v>
      </c>
      <c r="C107">
        <f t="shared" ca="1" si="15"/>
        <v>91</v>
      </c>
      <c r="D107">
        <f t="shared" ca="1" si="16"/>
        <v>50</v>
      </c>
      <c r="E107">
        <f t="shared" ca="1" si="17"/>
        <v>16</v>
      </c>
      <c r="F107">
        <f t="shared" ca="1" si="18"/>
        <v>8</v>
      </c>
      <c r="G107">
        <f t="shared" ca="1" si="19"/>
        <v>11811</v>
      </c>
      <c r="H107" s="8">
        <f ca="1">Table2[[#This Row],[Meetings]]/Table2[[#This Row],[Calls]]</f>
        <v>0.5494505494505495</v>
      </c>
      <c r="I107" s="10">
        <f ca="1">Table2[[#This Row],[Proposals]]/Table2[[#This Row],[Meetings]]</f>
        <v>0.32</v>
      </c>
      <c r="J107" s="10">
        <f ca="1">Table2[[#This Row],[Sales]]/Table2[[#This Row],[Proposals]]</f>
        <v>0.5</v>
      </c>
      <c r="K107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107">
        <f>MONTH(DATEVALUE("1-" &amp; Table2[[#This Row],[Month]] &amp; "-2024"))</f>
        <v>10</v>
      </c>
    </row>
    <row r="108" spans="1:12" x14ac:dyDescent="0.35">
      <c r="A108" t="s">
        <v>70</v>
      </c>
      <c r="B108" t="s">
        <v>319</v>
      </c>
      <c r="C108">
        <f t="shared" ca="1" si="15"/>
        <v>106</v>
      </c>
      <c r="D108">
        <f t="shared" ca="1" si="16"/>
        <v>15</v>
      </c>
      <c r="E108">
        <f t="shared" ca="1" si="17"/>
        <v>13</v>
      </c>
      <c r="F108">
        <f t="shared" ca="1" si="18"/>
        <v>8</v>
      </c>
      <c r="G108">
        <f t="shared" ca="1" si="19"/>
        <v>34657</v>
      </c>
      <c r="H108" s="8">
        <f ca="1">Table2[[#This Row],[Meetings]]/Table2[[#This Row],[Calls]]</f>
        <v>0.14150943396226415</v>
      </c>
      <c r="I108" s="10">
        <f ca="1">Table2[[#This Row],[Proposals]]/Table2[[#This Row],[Meetings]]</f>
        <v>0.8666666666666667</v>
      </c>
      <c r="J108" s="10">
        <f ca="1">Table2[[#This Row],[Sales]]/Table2[[#This Row],[Proposals]]</f>
        <v>0.61538461538461542</v>
      </c>
      <c r="K108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108">
        <f>MONTH(DATEVALUE("1-" &amp; Table2[[#This Row],[Month]] &amp; "-2024"))</f>
        <v>11</v>
      </c>
    </row>
    <row r="109" spans="1:12" x14ac:dyDescent="0.35">
      <c r="A109" t="s">
        <v>73</v>
      </c>
      <c r="B109" t="s">
        <v>320</v>
      </c>
      <c r="C109">
        <f t="shared" ca="1" si="15"/>
        <v>78</v>
      </c>
      <c r="D109">
        <f t="shared" ca="1" si="16"/>
        <v>41</v>
      </c>
      <c r="E109">
        <f t="shared" ca="1" si="17"/>
        <v>8</v>
      </c>
      <c r="F109">
        <f t="shared" ca="1" si="18"/>
        <v>3</v>
      </c>
      <c r="G109">
        <f t="shared" ca="1" si="19"/>
        <v>14662</v>
      </c>
      <c r="H109" s="8">
        <f ca="1">Table2[[#This Row],[Meetings]]/Table2[[#This Row],[Calls]]</f>
        <v>0.52564102564102566</v>
      </c>
      <c r="I109" s="10">
        <f ca="1">Table2[[#This Row],[Proposals]]/Table2[[#This Row],[Meetings]]</f>
        <v>0.1951219512195122</v>
      </c>
      <c r="J109" s="10">
        <f ca="1">Table2[[#This Row],[Sales]]/Table2[[#This Row],[Proposals]]</f>
        <v>0.375</v>
      </c>
      <c r="K109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109">
        <f>MONTH(DATEVALUE("1-" &amp; Table2[[#This Row],[Month]] &amp; "-2024"))</f>
        <v>12</v>
      </c>
    </row>
    <row r="110" spans="1:12" x14ac:dyDescent="0.35">
      <c r="A110" t="s">
        <v>76</v>
      </c>
      <c r="B110" t="s">
        <v>311</v>
      </c>
      <c r="C110">
        <f t="shared" ca="1" si="15"/>
        <v>110</v>
      </c>
      <c r="D110">
        <f t="shared" ca="1" si="16"/>
        <v>35</v>
      </c>
      <c r="E110">
        <f t="shared" ca="1" si="17"/>
        <v>15</v>
      </c>
      <c r="F110">
        <f t="shared" ca="1" si="18"/>
        <v>6</v>
      </c>
      <c r="G110">
        <f t="shared" ca="1" si="19"/>
        <v>57656</v>
      </c>
      <c r="H110" s="8">
        <f ca="1">Table2[[#This Row],[Meetings]]/Table2[[#This Row],[Calls]]</f>
        <v>0.31818181818181818</v>
      </c>
      <c r="I110" s="10">
        <f ca="1">Table2[[#This Row],[Proposals]]/Table2[[#This Row],[Meetings]]</f>
        <v>0.42857142857142855</v>
      </c>
      <c r="J110" s="10">
        <f ca="1">Table2[[#This Row],[Sales]]/Table2[[#This Row],[Proposals]]</f>
        <v>0.4</v>
      </c>
      <c r="K110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110">
        <f>MONTH(DATEVALUE("1-" &amp; Table2[[#This Row],[Month]] &amp; "-2024"))</f>
        <v>1</v>
      </c>
    </row>
    <row r="111" spans="1:12" x14ac:dyDescent="0.35">
      <c r="A111" t="s">
        <v>79</v>
      </c>
      <c r="B111" t="s">
        <v>312</v>
      </c>
      <c r="C111">
        <f t="shared" ca="1" si="15"/>
        <v>121</v>
      </c>
      <c r="D111">
        <f t="shared" ca="1" si="16"/>
        <v>24</v>
      </c>
      <c r="E111">
        <f t="shared" ca="1" si="17"/>
        <v>23</v>
      </c>
      <c r="F111">
        <f t="shared" ca="1" si="18"/>
        <v>1</v>
      </c>
      <c r="G111">
        <f t="shared" ca="1" si="19"/>
        <v>52101</v>
      </c>
      <c r="H111" s="8">
        <f ca="1">Table2[[#This Row],[Meetings]]/Table2[[#This Row],[Calls]]</f>
        <v>0.19834710743801653</v>
      </c>
      <c r="I111" s="10">
        <f ca="1">Table2[[#This Row],[Proposals]]/Table2[[#This Row],[Meetings]]</f>
        <v>0.95833333333333337</v>
      </c>
      <c r="J111" s="10">
        <f ca="1">Table2[[#This Row],[Sales]]/Table2[[#This Row],[Proposals]]</f>
        <v>4.3478260869565216E-2</v>
      </c>
      <c r="K111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111">
        <f>MONTH(DATEVALUE("1-" &amp; Table2[[#This Row],[Month]] &amp; "-2024"))</f>
        <v>2</v>
      </c>
    </row>
    <row r="112" spans="1:12" x14ac:dyDescent="0.35">
      <c r="A112" t="s">
        <v>81</v>
      </c>
      <c r="B112" t="s">
        <v>313</v>
      </c>
      <c r="C112">
        <f t="shared" ca="1" si="15"/>
        <v>105</v>
      </c>
      <c r="D112">
        <f t="shared" ca="1" si="16"/>
        <v>18</v>
      </c>
      <c r="E112">
        <f t="shared" ca="1" si="17"/>
        <v>17</v>
      </c>
      <c r="F112">
        <f t="shared" ca="1" si="18"/>
        <v>7</v>
      </c>
      <c r="G112">
        <f t="shared" ca="1" si="19"/>
        <v>14345</v>
      </c>
      <c r="H112" s="8">
        <f ca="1">Table2[[#This Row],[Meetings]]/Table2[[#This Row],[Calls]]</f>
        <v>0.17142857142857143</v>
      </c>
      <c r="I112" s="10">
        <f ca="1">Table2[[#This Row],[Proposals]]/Table2[[#This Row],[Meetings]]</f>
        <v>0.94444444444444442</v>
      </c>
      <c r="J112" s="10">
        <f ca="1">Table2[[#This Row],[Sales]]/Table2[[#This Row],[Proposals]]</f>
        <v>0.41176470588235292</v>
      </c>
      <c r="K112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112">
        <f>MONTH(DATEVALUE("1-" &amp; Table2[[#This Row],[Month]] &amp; "-2024"))</f>
        <v>3</v>
      </c>
    </row>
    <row r="113" spans="1:12" x14ac:dyDescent="0.35">
      <c r="A113" t="s">
        <v>84</v>
      </c>
      <c r="B113" t="s">
        <v>314</v>
      </c>
      <c r="C113">
        <f t="shared" ca="1" si="15"/>
        <v>89</v>
      </c>
      <c r="D113">
        <f t="shared" ca="1" si="16"/>
        <v>31</v>
      </c>
      <c r="E113">
        <f t="shared" ca="1" si="17"/>
        <v>12</v>
      </c>
      <c r="F113">
        <f t="shared" ca="1" si="18"/>
        <v>13</v>
      </c>
      <c r="G113">
        <f t="shared" ca="1" si="19"/>
        <v>45775</v>
      </c>
      <c r="H113" s="8">
        <f ca="1">Table2[[#This Row],[Meetings]]/Table2[[#This Row],[Calls]]</f>
        <v>0.34831460674157305</v>
      </c>
      <c r="I113" s="10">
        <f ca="1">Table2[[#This Row],[Proposals]]/Table2[[#This Row],[Meetings]]</f>
        <v>0.38709677419354838</v>
      </c>
      <c r="J113" s="10">
        <f ca="1">Table2[[#This Row],[Sales]]/Table2[[#This Row],[Proposals]]</f>
        <v>1.0833333333333333</v>
      </c>
      <c r="K113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113">
        <f>MONTH(DATEVALUE("1-" &amp; Table2[[#This Row],[Month]] &amp; "-2024"))</f>
        <v>4</v>
      </c>
    </row>
    <row r="114" spans="1:12" x14ac:dyDescent="0.35">
      <c r="A114" t="s">
        <v>86</v>
      </c>
      <c r="B114" t="s">
        <v>315</v>
      </c>
      <c r="C114">
        <f t="shared" ca="1" si="15"/>
        <v>149</v>
      </c>
      <c r="D114">
        <f t="shared" ca="1" si="16"/>
        <v>29</v>
      </c>
      <c r="E114">
        <f t="shared" ca="1" si="17"/>
        <v>17</v>
      </c>
      <c r="F114">
        <f t="shared" ca="1" si="18"/>
        <v>10</v>
      </c>
      <c r="G114">
        <f t="shared" ca="1" si="19"/>
        <v>26784</v>
      </c>
      <c r="H114" s="8">
        <f ca="1">Table2[[#This Row],[Meetings]]/Table2[[#This Row],[Calls]]</f>
        <v>0.19463087248322147</v>
      </c>
      <c r="I114" s="10">
        <f ca="1">Table2[[#This Row],[Proposals]]/Table2[[#This Row],[Meetings]]</f>
        <v>0.58620689655172409</v>
      </c>
      <c r="J114" s="10">
        <f ca="1">Table2[[#This Row],[Sales]]/Table2[[#This Row],[Proposals]]</f>
        <v>0.58823529411764708</v>
      </c>
      <c r="K114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114">
        <f>MONTH(DATEVALUE("1-" &amp; Table2[[#This Row],[Month]] &amp; "-2024"))</f>
        <v>5</v>
      </c>
    </row>
    <row r="115" spans="1:12" x14ac:dyDescent="0.35">
      <c r="A115" t="s">
        <v>88</v>
      </c>
      <c r="B115" t="s">
        <v>337</v>
      </c>
      <c r="C115">
        <f t="shared" ca="1" si="15"/>
        <v>109</v>
      </c>
      <c r="D115">
        <f t="shared" ca="1" si="16"/>
        <v>38</v>
      </c>
      <c r="E115">
        <f t="shared" ca="1" si="17"/>
        <v>14</v>
      </c>
      <c r="F115">
        <f t="shared" ca="1" si="18"/>
        <v>15</v>
      </c>
      <c r="G115">
        <f t="shared" ca="1" si="19"/>
        <v>13280</v>
      </c>
      <c r="H115" s="8">
        <f ca="1">Table2[[#This Row],[Meetings]]/Table2[[#This Row],[Calls]]</f>
        <v>0.34862385321100919</v>
      </c>
      <c r="I115" s="10">
        <f ca="1">Table2[[#This Row],[Proposals]]/Table2[[#This Row],[Meetings]]</f>
        <v>0.36842105263157893</v>
      </c>
      <c r="J115" s="10">
        <f ca="1">Table2[[#This Row],[Sales]]/Table2[[#This Row],[Proposals]]</f>
        <v>1.0714285714285714</v>
      </c>
      <c r="K115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115">
        <f>MONTH(DATEVALUE("1-" &amp; Table2[[#This Row],[Month]] &amp; "-2024"))</f>
        <v>6</v>
      </c>
    </row>
    <row r="116" spans="1:12" x14ac:dyDescent="0.35">
      <c r="A116" t="s">
        <v>90</v>
      </c>
      <c r="B116" t="s">
        <v>338</v>
      </c>
      <c r="C116">
        <f t="shared" ca="1" si="15"/>
        <v>78</v>
      </c>
      <c r="D116">
        <f t="shared" ca="1" si="16"/>
        <v>49</v>
      </c>
      <c r="E116">
        <f t="shared" ca="1" si="17"/>
        <v>19</v>
      </c>
      <c r="F116">
        <f t="shared" ca="1" si="18"/>
        <v>1</v>
      </c>
      <c r="G116">
        <f t="shared" ca="1" si="19"/>
        <v>36827</v>
      </c>
      <c r="H116" s="8">
        <f ca="1">Table2[[#This Row],[Meetings]]/Table2[[#This Row],[Calls]]</f>
        <v>0.62820512820512819</v>
      </c>
      <c r="I116" s="10">
        <f ca="1">Table2[[#This Row],[Proposals]]/Table2[[#This Row],[Meetings]]</f>
        <v>0.38775510204081631</v>
      </c>
      <c r="J116" s="10">
        <f ca="1">Table2[[#This Row],[Sales]]/Table2[[#This Row],[Proposals]]</f>
        <v>5.2631578947368418E-2</v>
      </c>
      <c r="K116" t="str">
        <f ca="1">IF(Table2[[#This Row],[Meeting Rate]]&lt;0.2,"Poor Communication",IF(Table2[[#This Row],[Proposal Rate]]&lt;0.3,"Poor Closing",IF(Table2[[#This Row],[Sales Conversion]]&lt;0.3,"Poor Pitching","Strong Performer")))</f>
        <v>Poor Pitching</v>
      </c>
      <c r="L116">
        <f>MONTH(DATEVALUE("1-" &amp; Table2[[#This Row],[Month]] &amp; "-2024"))</f>
        <v>7</v>
      </c>
    </row>
    <row r="117" spans="1:12" x14ac:dyDescent="0.35">
      <c r="A117" t="s">
        <v>92</v>
      </c>
      <c r="B117" t="s">
        <v>316</v>
      </c>
      <c r="C117">
        <f t="shared" ca="1" si="15"/>
        <v>95</v>
      </c>
      <c r="D117">
        <f t="shared" ca="1" si="16"/>
        <v>34</v>
      </c>
      <c r="E117">
        <f t="shared" ca="1" si="17"/>
        <v>16</v>
      </c>
      <c r="F117">
        <f t="shared" ca="1" si="18"/>
        <v>3</v>
      </c>
      <c r="G117">
        <f t="shared" ca="1" si="19"/>
        <v>46218</v>
      </c>
      <c r="H117" s="8">
        <f ca="1">Table2[[#This Row],[Meetings]]/Table2[[#This Row],[Calls]]</f>
        <v>0.35789473684210527</v>
      </c>
      <c r="I117" s="10">
        <f ca="1">Table2[[#This Row],[Proposals]]/Table2[[#This Row],[Meetings]]</f>
        <v>0.47058823529411764</v>
      </c>
      <c r="J117" s="10">
        <f ca="1">Table2[[#This Row],[Sales]]/Table2[[#This Row],[Proposals]]</f>
        <v>0.1875</v>
      </c>
      <c r="K117" t="str">
        <f ca="1">IF(Table2[[#This Row],[Meeting Rate]]&lt;0.2,"Poor Communication",IF(Table2[[#This Row],[Proposal Rate]]&lt;0.3,"Poor Closing",IF(Table2[[#This Row],[Sales Conversion]]&lt;0.3,"Poor Pitching","Strong Performer")))</f>
        <v>Poor Pitching</v>
      </c>
      <c r="L117">
        <f>MONTH(DATEVALUE("1-" &amp; Table2[[#This Row],[Month]] &amp; "-2024"))</f>
        <v>8</v>
      </c>
    </row>
    <row r="118" spans="1:12" x14ac:dyDescent="0.35">
      <c r="A118" t="s">
        <v>94</v>
      </c>
      <c r="B118" t="s">
        <v>317</v>
      </c>
      <c r="C118">
        <f t="shared" ca="1" si="15"/>
        <v>99</v>
      </c>
      <c r="D118">
        <f t="shared" ca="1" si="16"/>
        <v>29</v>
      </c>
      <c r="E118">
        <f t="shared" ca="1" si="17"/>
        <v>22</v>
      </c>
      <c r="F118">
        <f t="shared" ca="1" si="18"/>
        <v>10</v>
      </c>
      <c r="G118">
        <f t="shared" ca="1" si="19"/>
        <v>50917</v>
      </c>
      <c r="H118" s="8">
        <f ca="1">Table2[[#This Row],[Meetings]]/Table2[[#This Row],[Calls]]</f>
        <v>0.29292929292929293</v>
      </c>
      <c r="I118" s="10">
        <f ca="1">Table2[[#This Row],[Proposals]]/Table2[[#This Row],[Meetings]]</f>
        <v>0.75862068965517238</v>
      </c>
      <c r="J118" s="10">
        <f ca="1">Table2[[#This Row],[Sales]]/Table2[[#This Row],[Proposals]]</f>
        <v>0.45454545454545453</v>
      </c>
      <c r="K118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118">
        <f>MONTH(DATEVALUE("1-" &amp; Table2[[#This Row],[Month]] &amp; "-2024"))</f>
        <v>9</v>
      </c>
    </row>
    <row r="119" spans="1:12" x14ac:dyDescent="0.35">
      <c r="A119" t="s">
        <v>96</v>
      </c>
      <c r="B119" t="s">
        <v>318</v>
      </c>
      <c r="C119">
        <f t="shared" ca="1" si="15"/>
        <v>100</v>
      </c>
      <c r="D119">
        <f t="shared" ca="1" si="16"/>
        <v>19</v>
      </c>
      <c r="E119">
        <f t="shared" ca="1" si="17"/>
        <v>14</v>
      </c>
      <c r="F119">
        <f t="shared" ca="1" si="18"/>
        <v>11</v>
      </c>
      <c r="G119">
        <f t="shared" ca="1" si="19"/>
        <v>25962</v>
      </c>
      <c r="H119" s="8">
        <f ca="1">Table2[[#This Row],[Meetings]]/Table2[[#This Row],[Calls]]</f>
        <v>0.19</v>
      </c>
      <c r="I119" s="10">
        <f ca="1">Table2[[#This Row],[Proposals]]/Table2[[#This Row],[Meetings]]</f>
        <v>0.73684210526315785</v>
      </c>
      <c r="J119" s="10">
        <f ca="1">Table2[[#This Row],[Sales]]/Table2[[#This Row],[Proposals]]</f>
        <v>0.7857142857142857</v>
      </c>
      <c r="K119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119">
        <f>MONTH(DATEVALUE("1-" &amp; Table2[[#This Row],[Month]] &amp; "-2024"))</f>
        <v>10</v>
      </c>
    </row>
    <row r="120" spans="1:12" x14ac:dyDescent="0.35">
      <c r="A120" t="s">
        <v>98</v>
      </c>
      <c r="B120" t="s">
        <v>319</v>
      </c>
      <c r="C120">
        <f t="shared" ca="1" si="15"/>
        <v>81</v>
      </c>
      <c r="D120">
        <f t="shared" ca="1" si="16"/>
        <v>7</v>
      </c>
      <c r="E120">
        <f t="shared" ca="1" si="17"/>
        <v>16</v>
      </c>
      <c r="F120">
        <f t="shared" ca="1" si="18"/>
        <v>12</v>
      </c>
      <c r="G120">
        <f t="shared" ca="1" si="19"/>
        <v>14866</v>
      </c>
      <c r="H120" s="8">
        <f ca="1">Table2[[#This Row],[Meetings]]/Table2[[#This Row],[Calls]]</f>
        <v>8.6419753086419748E-2</v>
      </c>
      <c r="I120" s="10">
        <f ca="1">Table2[[#This Row],[Proposals]]/Table2[[#This Row],[Meetings]]</f>
        <v>2.2857142857142856</v>
      </c>
      <c r="J120" s="10">
        <f ca="1">Table2[[#This Row],[Sales]]/Table2[[#This Row],[Proposals]]</f>
        <v>0.75</v>
      </c>
      <c r="K120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120">
        <f>MONTH(DATEVALUE("1-" &amp; Table2[[#This Row],[Month]] &amp; "-2024"))</f>
        <v>11</v>
      </c>
    </row>
    <row r="121" spans="1:12" x14ac:dyDescent="0.35">
      <c r="A121" t="s">
        <v>100</v>
      </c>
      <c r="B121" t="s">
        <v>320</v>
      </c>
      <c r="C121">
        <f t="shared" ca="1" si="15"/>
        <v>75</v>
      </c>
      <c r="D121">
        <f t="shared" ca="1" si="16"/>
        <v>8</v>
      </c>
      <c r="E121">
        <f t="shared" ca="1" si="17"/>
        <v>14</v>
      </c>
      <c r="F121">
        <f t="shared" ca="1" si="18"/>
        <v>10</v>
      </c>
      <c r="G121">
        <f t="shared" ca="1" si="19"/>
        <v>13441</v>
      </c>
      <c r="H121" s="8">
        <f ca="1">Table2[[#This Row],[Meetings]]/Table2[[#This Row],[Calls]]</f>
        <v>0.10666666666666667</v>
      </c>
      <c r="I121" s="10">
        <f ca="1">Table2[[#This Row],[Proposals]]/Table2[[#This Row],[Meetings]]</f>
        <v>1.75</v>
      </c>
      <c r="J121" s="10">
        <f ca="1">Table2[[#This Row],[Sales]]/Table2[[#This Row],[Proposals]]</f>
        <v>0.7142857142857143</v>
      </c>
      <c r="K121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121">
        <f>MONTH(DATEVALUE("1-" &amp; Table2[[#This Row],[Month]] &amp; "-2024"))</f>
        <v>12</v>
      </c>
    </row>
    <row r="122" spans="1:12" x14ac:dyDescent="0.35">
      <c r="A122" t="s">
        <v>7</v>
      </c>
      <c r="B122" t="s">
        <v>311</v>
      </c>
      <c r="C122">
        <f t="shared" ca="1" si="15"/>
        <v>143</v>
      </c>
      <c r="D122">
        <f t="shared" ca="1" si="16"/>
        <v>7</v>
      </c>
      <c r="E122">
        <f t="shared" ca="1" si="17"/>
        <v>24</v>
      </c>
      <c r="F122">
        <f t="shared" ca="1" si="18"/>
        <v>8</v>
      </c>
      <c r="G122">
        <f t="shared" ca="1" si="19"/>
        <v>52030</v>
      </c>
      <c r="H122" s="8">
        <f ca="1">Table2[[#This Row],[Meetings]]/Table2[[#This Row],[Calls]]</f>
        <v>4.8951048951048952E-2</v>
      </c>
      <c r="I122" s="10">
        <f ca="1">Table2[[#This Row],[Proposals]]/Table2[[#This Row],[Meetings]]</f>
        <v>3.4285714285714284</v>
      </c>
      <c r="J122" s="10">
        <f ca="1">Table2[[#This Row],[Sales]]/Table2[[#This Row],[Proposals]]</f>
        <v>0.33333333333333331</v>
      </c>
      <c r="K122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122">
        <f>MONTH(DATEVALUE("1-" &amp; Table2[[#This Row],[Month]] &amp; "-2024"))</f>
        <v>1</v>
      </c>
    </row>
    <row r="123" spans="1:12" x14ac:dyDescent="0.35">
      <c r="A123" t="s">
        <v>14</v>
      </c>
      <c r="B123" t="s">
        <v>312</v>
      </c>
      <c r="C123">
        <f t="shared" ca="1" si="15"/>
        <v>84</v>
      </c>
      <c r="D123">
        <f t="shared" ca="1" si="16"/>
        <v>50</v>
      </c>
      <c r="E123">
        <f t="shared" ca="1" si="17"/>
        <v>10</v>
      </c>
      <c r="F123">
        <f t="shared" ca="1" si="18"/>
        <v>4</v>
      </c>
      <c r="G123">
        <f t="shared" ca="1" si="19"/>
        <v>55035</v>
      </c>
      <c r="H123" s="8">
        <f ca="1">Table2[[#This Row],[Meetings]]/Table2[[#This Row],[Calls]]</f>
        <v>0.59523809523809523</v>
      </c>
      <c r="I123" s="10">
        <f ca="1">Table2[[#This Row],[Proposals]]/Table2[[#This Row],[Meetings]]</f>
        <v>0.2</v>
      </c>
      <c r="J123" s="10">
        <f ca="1">Table2[[#This Row],[Sales]]/Table2[[#This Row],[Proposals]]</f>
        <v>0.4</v>
      </c>
      <c r="K123" t="str">
        <f ca="1">IF(Table2[[#This Row],[Meeting Rate]]&lt;0.2,"Poor Communication",IF(Table2[[#This Row],[Proposal Rate]]&lt;0.3,"Poor Closing",IF(Table2[[#This Row],[Sales Conversion]]&lt;0.3,"Poor Pitching","Strong Performer")))</f>
        <v>Poor Closing</v>
      </c>
      <c r="L123">
        <f>MONTH(DATEVALUE("1-" &amp; Table2[[#This Row],[Month]] &amp; "-2024"))</f>
        <v>2</v>
      </c>
    </row>
    <row r="124" spans="1:12" x14ac:dyDescent="0.35">
      <c r="A124" t="s">
        <v>21</v>
      </c>
      <c r="B124" t="s">
        <v>313</v>
      </c>
      <c r="C124">
        <f t="shared" ca="1" si="15"/>
        <v>79</v>
      </c>
      <c r="D124">
        <f t="shared" ca="1" si="16"/>
        <v>11</v>
      </c>
      <c r="E124">
        <f t="shared" ca="1" si="17"/>
        <v>16</v>
      </c>
      <c r="F124">
        <f t="shared" ca="1" si="18"/>
        <v>10</v>
      </c>
      <c r="G124">
        <f t="shared" ca="1" si="19"/>
        <v>31328</v>
      </c>
      <c r="H124" s="8">
        <f ca="1">Table2[[#This Row],[Meetings]]/Table2[[#This Row],[Calls]]</f>
        <v>0.13924050632911392</v>
      </c>
      <c r="I124" s="10">
        <f ca="1">Table2[[#This Row],[Proposals]]/Table2[[#This Row],[Meetings]]</f>
        <v>1.4545454545454546</v>
      </c>
      <c r="J124" s="10">
        <f ca="1">Table2[[#This Row],[Sales]]/Table2[[#This Row],[Proposals]]</f>
        <v>0.625</v>
      </c>
      <c r="K124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124">
        <f>MONTH(DATEVALUE("1-" &amp; Table2[[#This Row],[Month]] &amp; "-2024"))</f>
        <v>3</v>
      </c>
    </row>
    <row r="125" spans="1:12" x14ac:dyDescent="0.35">
      <c r="A125" t="s">
        <v>24</v>
      </c>
      <c r="B125" t="s">
        <v>314</v>
      </c>
      <c r="C125">
        <f t="shared" ca="1" si="15"/>
        <v>106</v>
      </c>
      <c r="D125">
        <f t="shared" ca="1" si="16"/>
        <v>8</v>
      </c>
      <c r="E125">
        <f t="shared" ca="1" si="17"/>
        <v>19</v>
      </c>
      <c r="F125">
        <f t="shared" ca="1" si="18"/>
        <v>11</v>
      </c>
      <c r="G125">
        <f t="shared" ca="1" si="19"/>
        <v>52768</v>
      </c>
      <c r="H125" s="8">
        <f ca="1">Table2[[#This Row],[Meetings]]/Table2[[#This Row],[Calls]]</f>
        <v>7.5471698113207544E-2</v>
      </c>
      <c r="I125" s="10">
        <f ca="1">Table2[[#This Row],[Proposals]]/Table2[[#This Row],[Meetings]]</f>
        <v>2.375</v>
      </c>
      <c r="J125" s="10">
        <f ca="1">Table2[[#This Row],[Sales]]/Table2[[#This Row],[Proposals]]</f>
        <v>0.57894736842105265</v>
      </c>
      <c r="K125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125">
        <f>MONTH(DATEVALUE("1-" &amp; Table2[[#This Row],[Month]] &amp; "-2024"))</f>
        <v>4</v>
      </c>
    </row>
    <row r="126" spans="1:12" x14ac:dyDescent="0.35">
      <c r="A126" t="s">
        <v>28</v>
      </c>
      <c r="B126" t="s">
        <v>315</v>
      </c>
      <c r="C126">
        <f t="shared" ca="1" si="15"/>
        <v>107</v>
      </c>
      <c r="D126">
        <f t="shared" ca="1" si="16"/>
        <v>41</v>
      </c>
      <c r="E126">
        <f t="shared" ca="1" si="17"/>
        <v>24</v>
      </c>
      <c r="F126">
        <f t="shared" ca="1" si="18"/>
        <v>10</v>
      </c>
      <c r="G126">
        <f t="shared" ca="1" si="19"/>
        <v>29933</v>
      </c>
      <c r="H126" s="8">
        <f ca="1">Table2[[#This Row],[Meetings]]/Table2[[#This Row],[Calls]]</f>
        <v>0.38317757009345793</v>
      </c>
      <c r="I126" s="10">
        <f ca="1">Table2[[#This Row],[Proposals]]/Table2[[#This Row],[Meetings]]</f>
        <v>0.58536585365853655</v>
      </c>
      <c r="J126" s="10">
        <f ca="1">Table2[[#This Row],[Sales]]/Table2[[#This Row],[Proposals]]</f>
        <v>0.41666666666666669</v>
      </c>
      <c r="K126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126">
        <f>MONTH(DATEVALUE("1-" &amp; Table2[[#This Row],[Month]] &amp; "-2024"))</f>
        <v>5</v>
      </c>
    </row>
    <row r="127" spans="1:12" x14ac:dyDescent="0.35">
      <c r="A127" t="s">
        <v>33</v>
      </c>
      <c r="B127" t="s">
        <v>337</v>
      </c>
      <c r="C127">
        <f t="shared" ca="1" si="15"/>
        <v>129</v>
      </c>
      <c r="D127">
        <f t="shared" ca="1" si="16"/>
        <v>7</v>
      </c>
      <c r="E127">
        <f t="shared" ca="1" si="17"/>
        <v>8</v>
      </c>
      <c r="F127">
        <f t="shared" ca="1" si="18"/>
        <v>4</v>
      </c>
      <c r="G127">
        <f t="shared" ca="1" si="19"/>
        <v>14781</v>
      </c>
      <c r="H127" s="8">
        <f ca="1">Table2[[#This Row],[Meetings]]/Table2[[#This Row],[Calls]]</f>
        <v>5.4263565891472867E-2</v>
      </c>
      <c r="I127" s="10">
        <f ca="1">Table2[[#This Row],[Proposals]]/Table2[[#This Row],[Meetings]]</f>
        <v>1.1428571428571428</v>
      </c>
      <c r="J127" s="10">
        <f ca="1">Table2[[#This Row],[Sales]]/Table2[[#This Row],[Proposals]]</f>
        <v>0.5</v>
      </c>
      <c r="K127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127">
        <f>MONTH(DATEVALUE("1-" &amp; Table2[[#This Row],[Month]] &amp; "-2024"))</f>
        <v>6</v>
      </c>
    </row>
    <row r="128" spans="1:12" x14ac:dyDescent="0.35">
      <c r="A128" t="s">
        <v>38</v>
      </c>
      <c r="B128" t="s">
        <v>338</v>
      </c>
      <c r="C128">
        <f t="shared" ca="1" si="15"/>
        <v>73</v>
      </c>
      <c r="D128">
        <f t="shared" ca="1" si="16"/>
        <v>19</v>
      </c>
      <c r="E128">
        <f t="shared" ca="1" si="17"/>
        <v>8</v>
      </c>
      <c r="F128">
        <f t="shared" ca="1" si="18"/>
        <v>9</v>
      </c>
      <c r="G128">
        <f t="shared" ca="1" si="19"/>
        <v>8581</v>
      </c>
      <c r="H128" s="8">
        <f ca="1">Table2[[#This Row],[Meetings]]/Table2[[#This Row],[Calls]]</f>
        <v>0.26027397260273971</v>
      </c>
      <c r="I128" s="10">
        <f ca="1">Table2[[#This Row],[Proposals]]/Table2[[#This Row],[Meetings]]</f>
        <v>0.42105263157894735</v>
      </c>
      <c r="J128" s="10">
        <f ca="1">Table2[[#This Row],[Sales]]/Table2[[#This Row],[Proposals]]</f>
        <v>1.125</v>
      </c>
      <c r="K128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128">
        <f>MONTH(DATEVALUE("1-" &amp; Table2[[#This Row],[Month]] &amp; "-2024"))</f>
        <v>7</v>
      </c>
    </row>
    <row r="129" spans="1:12" x14ac:dyDescent="0.35">
      <c r="A129" t="s">
        <v>42</v>
      </c>
      <c r="B129" t="s">
        <v>316</v>
      </c>
      <c r="C129">
        <f t="shared" ca="1" si="15"/>
        <v>151</v>
      </c>
      <c r="D129">
        <f t="shared" ca="1" si="16"/>
        <v>19</v>
      </c>
      <c r="E129">
        <f t="shared" ca="1" si="17"/>
        <v>6</v>
      </c>
      <c r="F129">
        <f t="shared" ca="1" si="18"/>
        <v>15</v>
      </c>
      <c r="G129">
        <f t="shared" ca="1" si="19"/>
        <v>21666</v>
      </c>
      <c r="H129" s="8">
        <f ca="1">Table2[[#This Row],[Meetings]]/Table2[[#This Row],[Calls]]</f>
        <v>0.12582781456953643</v>
      </c>
      <c r="I129" s="10">
        <f ca="1">Table2[[#This Row],[Proposals]]/Table2[[#This Row],[Meetings]]</f>
        <v>0.31578947368421051</v>
      </c>
      <c r="J129" s="10">
        <f ca="1">Table2[[#This Row],[Sales]]/Table2[[#This Row],[Proposals]]</f>
        <v>2.5</v>
      </c>
      <c r="K129" t="str">
        <f ca="1">IF(Table2[[#This Row],[Meeting Rate]]&lt;0.2,"Poor Communication",IF(Table2[[#This Row],[Proposal Rate]]&lt;0.3,"Poor Closing",IF(Table2[[#This Row],[Sales Conversion]]&lt;0.3,"Poor Pitching","Strong Performer")))</f>
        <v>Poor Communication</v>
      </c>
      <c r="L129">
        <f>MONTH(DATEVALUE("1-" &amp; Table2[[#This Row],[Month]] &amp; "-2024"))</f>
        <v>8</v>
      </c>
    </row>
    <row r="130" spans="1:12" x14ac:dyDescent="0.35">
      <c r="A130" t="s">
        <v>45</v>
      </c>
      <c r="B130" t="s">
        <v>317</v>
      </c>
      <c r="C130">
        <f t="shared" ca="1" si="15"/>
        <v>93</v>
      </c>
      <c r="D130">
        <f t="shared" ca="1" si="16"/>
        <v>30</v>
      </c>
      <c r="E130">
        <f t="shared" ca="1" si="17"/>
        <v>16</v>
      </c>
      <c r="F130">
        <f t="shared" ca="1" si="18"/>
        <v>12</v>
      </c>
      <c r="G130">
        <f t="shared" ca="1" si="19"/>
        <v>47224</v>
      </c>
      <c r="H130" s="8">
        <f ca="1">Table2[[#This Row],[Meetings]]/Table2[[#This Row],[Calls]]</f>
        <v>0.32258064516129031</v>
      </c>
      <c r="I130" s="10">
        <f ca="1">Table2[[#This Row],[Proposals]]/Table2[[#This Row],[Meetings]]</f>
        <v>0.53333333333333333</v>
      </c>
      <c r="J130" s="10">
        <f ca="1">Table2[[#This Row],[Sales]]/Table2[[#This Row],[Proposals]]</f>
        <v>0.75</v>
      </c>
      <c r="K130" t="str">
        <f ca="1">IF(Table2[[#This Row],[Meeting Rate]]&lt;0.2,"Poor Communication",IF(Table2[[#This Row],[Proposal Rate]]&lt;0.3,"Poor Closing",IF(Table2[[#This Row],[Sales Conversion]]&lt;0.3,"Poor Pitching","Strong Performer")))</f>
        <v>Strong Performer</v>
      </c>
      <c r="L130">
        <f>MONTH(DATEVALUE("1-" &amp; Table2[[#This Row],[Month]] &amp; "-2024"))</f>
        <v>9</v>
      </c>
    </row>
    <row r="131" spans="1:12" x14ac:dyDescent="0.35">
      <c r="A131" t="s">
        <v>49</v>
      </c>
      <c r="B131" t="s">
        <v>318</v>
      </c>
      <c r="C131">
        <f t="shared" ca="1" si="15"/>
        <v>119</v>
      </c>
      <c r="D131">
        <f t="shared" ca="1" si="16"/>
        <v>31</v>
      </c>
      <c r="E131">
        <f t="shared" ca="1" si="17"/>
        <v>24</v>
      </c>
      <c r="F131">
        <f t="shared" ca="1" si="18"/>
        <v>7</v>
      </c>
      <c r="G131">
        <f t="shared" ca="1" si="19"/>
        <v>30966</v>
      </c>
      <c r="H131" s="8">
        <f ca="1">Table2[[#This Row],[Meetings]]/Table2[[#This Row],[Calls]]</f>
        <v>0.26050420168067229</v>
      </c>
      <c r="I131" s="10">
        <f ca="1">Table2[[#This Row],[Proposals]]/Table2[[#This Row],[Meetings]]</f>
        <v>0.77419354838709675</v>
      </c>
      <c r="J131" s="10">
        <f ca="1">Table2[[#This Row],[Sales]]/Table2[[#This Row],[Proposals]]</f>
        <v>0.29166666666666669</v>
      </c>
      <c r="K131" t="str">
        <f ca="1">IF(Table2[[#This Row],[Meeting Rate]]&lt;0.2,"Poor Communication",IF(Table2[[#This Row],[Proposal Rate]]&lt;0.3,"Poor Closing",IF(Table2[[#This Row],[Sales Conversion]]&lt;0.3,"Poor Pitching","Strong Performer")))</f>
        <v>Poor Pitching</v>
      </c>
      <c r="L131">
        <f>MONTH(DATEVALUE("1-" &amp; Table2[[#This Row],[Month]] &amp; "-2024"))</f>
        <v>10</v>
      </c>
    </row>
  </sheetData>
  <phoneticPr fontId="3" type="noConversion"/>
  <conditionalFormatting sqref="K1:K1048576">
    <cfRule type="containsText" dxfId="13" priority="1" operator="containsText" text="Strong Performer">
      <formula>NOT(ISERROR(SEARCH("Strong Performer",K1)))</formula>
    </cfRule>
    <cfRule type="containsText" dxfId="12" priority="2" operator="containsText" text="Poor Closing">
      <formula>NOT(ISERROR(SEARCH("Poor Closing",K1)))</formula>
    </cfRule>
    <cfRule type="containsText" dxfId="11" priority="3" operator="containsText" text="Poor Communication">
      <formula>NOT(ISERROR(SEARCH("Poor Communication",K1)))</formula>
    </cfRule>
    <cfRule type="containsText" dxfId="10" priority="4" operator="containsText" text="Poor Pitching">
      <formula>NOT(ISERROR(SEARCH("Poor Pitching",K1)))</formula>
    </cfRule>
    <cfRule type="containsText" dxfId="9" priority="5" operator="containsText" text="poor closing">
      <formula>NOT(ISERROR(SEARCH("poor closing",K1)))</formula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1EFDA-D031-4E0D-A2D0-5E3D296D1BD1}">
  <dimension ref="A3:E110"/>
  <sheetViews>
    <sheetView zoomScale="51" workbookViewId="0">
      <selection activeCell="T33" sqref="T33"/>
    </sheetView>
  </sheetViews>
  <sheetFormatPr defaultRowHeight="14.5" x14ac:dyDescent="0.35"/>
  <cols>
    <col min="1" max="1" width="21.36328125" bestFit="1" customWidth="1"/>
    <col min="2" max="2" width="15.36328125" bestFit="1" customWidth="1"/>
    <col min="3" max="3" width="18.6328125" bestFit="1" customWidth="1"/>
    <col min="4" max="4" width="18" bestFit="1" customWidth="1"/>
    <col min="5" max="5" width="15.36328125" bestFit="1" customWidth="1"/>
    <col min="6" max="6" width="12.453125" bestFit="1" customWidth="1"/>
    <col min="7" max="7" width="11.81640625" bestFit="1" customWidth="1"/>
    <col min="8" max="8" width="7.453125" bestFit="1" customWidth="1"/>
  </cols>
  <sheetData>
    <row r="3" spans="1:5" x14ac:dyDescent="0.35">
      <c r="A3" s="11" t="s">
        <v>334</v>
      </c>
      <c r="B3" t="s">
        <v>336</v>
      </c>
      <c r="D3" s="11" t="s">
        <v>334</v>
      </c>
      <c r="E3" t="s">
        <v>336</v>
      </c>
    </row>
    <row r="4" spans="1:5" x14ac:dyDescent="0.35">
      <c r="A4" s="12" t="s">
        <v>7</v>
      </c>
      <c r="B4">
        <v>5</v>
      </c>
      <c r="D4" s="12" t="s">
        <v>329</v>
      </c>
      <c r="E4">
        <v>31</v>
      </c>
    </row>
    <row r="5" spans="1:5" x14ac:dyDescent="0.35">
      <c r="A5" s="13" t="s">
        <v>329</v>
      </c>
      <c r="B5">
        <v>2</v>
      </c>
      <c r="D5" s="12" t="s">
        <v>327</v>
      </c>
      <c r="E5">
        <v>46</v>
      </c>
    </row>
    <row r="6" spans="1:5" x14ac:dyDescent="0.35">
      <c r="A6" s="13" t="s">
        <v>333</v>
      </c>
      <c r="B6">
        <v>3</v>
      </c>
      <c r="D6" s="12" t="s">
        <v>331</v>
      </c>
      <c r="E6">
        <v>17</v>
      </c>
    </row>
    <row r="7" spans="1:5" x14ac:dyDescent="0.35">
      <c r="A7" s="12" t="s">
        <v>14</v>
      </c>
      <c r="B7">
        <v>5</v>
      </c>
      <c r="D7" s="12" t="s">
        <v>333</v>
      </c>
      <c r="E7">
        <v>36</v>
      </c>
    </row>
    <row r="8" spans="1:5" x14ac:dyDescent="0.35">
      <c r="A8" s="13" t="s">
        <v>329</v>
      </c>
      <c r="B8">
        <v>1</v>
      </c>
      <c r="D8" s="12" t="s">
        <v>335</v>
      </c>
      <c r="E8">
        <v>130</v>
      </c>
    </row>
    <row r="9" spans="1:5" x14ac:dyDescent="0.35">
      <c r="A9" s="13" t="s">
        <v>327</v>
      </c>
      <c r="B9">
        <v>1</v>
      </c>
    </row>
    <row r="10" spans="1:5" x14ac:dyDescent="0.35">
      <c r="A10" s="13" t="s">
        <v>333</v>
      </c>
      <c r="B10">
        <v>3</v>
      </c>
    </row>
    <row r="11" spans="1:5" x14ac:dyDescent="0.35">
      <c r="A11" s="12" t="s">
        <v>21</v>
      </c>
      <c r="B11">
        <v>5</v>
      </c>
    </row>
    <row r="12" spans="1:5" x14ac:dyDescent="0.35">
      <c r="A12" s="13" t="s">
        <v>329</v>
      </c>
      <c r="B12">
        <v>2</v>
      </c>
    </row>
    <row r="13" spans="1:5" x14ac:dyDescent="0.35">
      <c r="A13" s="13" t="s">
        <v>331</v>
      </c>
      <c r="B13">
        <v>3</v>
      </c>
    </row>
    <row r="14" spans="1:5" x14ac:dyDescent="0.35">
      <c r="A14" s="12" t="s">
        <v>24</v>
      </c>
      <c r="B14">
        <v>5</v>
      </c>
    </row>
    <row r="15" spans="1:5" x14ac:dyDescent="0.35">
      <c r="A15" s="13" t="s">
        <v>327</v>
      </c>
      <c r="B15">
        <v>1</v>
      </c>
    </row>
    <row r="16" spans="1:5" x14ac:dyDescent="0.35">
      <c r="A16" s="13" t="s">
        <v>331</v>
      </c>
      <c r="B16">
        <v>2</v>
      </c>
    </row>
    <row r="17" spans="1:4" x14ac:dyDescent="0.35">
      <c r="A17" s="13" t="s">
        <v>333</v>
      </c>
      <c r="B17">
        <v>2</v>
      </c>
    </row>
    <row r="18" spans="1:4" x14ac:dyDescent="0.35">
      <c r="A18" s="12" t="s">
        <v>28</v>
      </c>
      <c r="B18">
        <v>5</v>
      </c>
    </row>
    <row r="19" spans="1:4" x14ac:dyDescent="0.35">
      <c r="A19" s="13" t="s">
        <v>329</v>
      </c>
      <c r="B19">
        <v>3</v>
      </c>
    </row>
    <row r="20" spans="1:4" x14ac:dyDescent="0.35">
      <c r="A20" s="13" t="s">
        <v>327</v>
      </c>
      <c r="B20">
        <v>1</v>
      </c>
      <c r="D20" s="2" t="s">
        <v>343</v>
      </c>
    </row>
    <row r="21" spans="1:4" x14ac:dyDescent="0.35">
      <c r="A21" s="13" t="s">
        <v>333</v>
      </c>
      <c r="B21">
        <v>1</v>
      </c>
      <c r="D21" t="s">
        <v>339</v>
      </c>
    </row>
    <row r="22" spans="1:4" x14ac:dyDescent="0.35">
      <c r="A22" s="12" t="s">
        <v>33</v>
      </c>
      <c r="B22">
        <v>5</v>
      </c>
      <c r="D22" t="s">
        <v>340</v>
      </c>
    </row>
    <row r="23" spans="1:4" x14ac:dyDescent="0.35">
      <c r="A23" s="13" t="s">
        <v>327</v>
      </c>
      <c r="B23">
        <v>1</v>
      </c>
      <c r="D23" t="s">
        <v>341</v>
      </c>
    </row>
    <row r="24" spans="1:4" x14ac:dyDescent="0.35">
      <c r="A24" s="13" t="s">
        <v>331</v>
      </c>
      <c r="B24">
        <v>1</v>
      </c>
      <c r="D24" t="s">
        <v>342</v>
      </c>
    </row>
    <row r="25" spans="1:4" x14ac:dyDescent="0.35">
      <c r="A25" s="13" t="s">
        <v>333</v>
      </c>
      <c r="B25">
        <v>3</v>
      </c>
    </row>
    <row r="26" spans="1:4" x14ac:dyDescent="0.35">
      <c r="A26" s="12" t="s">
        <v>38</v>
      </c>
      <c r="B26">
        <v>5</v>
      </c>
      <c r="D26" s="2" t="s">
        <v>347</v>
      </c>
    </row>
    <row r="27" spans="1:4" x14ac:dyDescent="0.35">
      <c r="A27" s="13" t="s">
        <v>329</v>
      </c>
      <c r="B27">
        <v>1</v>
      </c>
      <c r="D27" t="s">
        <v>344</v>
      </c>
    </row>
    <row r="28" spans="1:4" x14ac:dyDescent="0.35">
      <c r="A28" s="13" t="s">
        <v>331</v>
      </c>
      <c r="B28">
        <v>1</v>
      </c>
      <c r="D28" t="s">
        <v>345</v>
      </c>
    </row>
    <row r="29" spans="1:4" x14ac:dyDescent="0.35">
      <c r="A29" s="13" t="s">
        <v>333</v>
      </c>
      <c r="B29">
        <v>3</v>
      </c>
      <c r="D29" t="s">
        <v>346</v>
      </c>
    </row>
    <row r="30" spans="1:4" x14ac:dyDescent="0.35">
      <c r="A30" s="12" t="s">
        <v>42</v>
      </c>
      <c r="B30">
        <v>5</v>
      </c>
    </row>
    <row r="31" spans="1:4" x14ac:dyDescent="0.35">
      <c r="A31" s="13" t="s">
        <v>329</v>
      </c>
      <c r="B31">
        <v>2</v>
      </c>
    </row>
    <row r="32" spans="1:4" x14ac:dyDescent="0.35">
      <c r="A32" s="13" t="s">
        <v>327</v>
      </c>
      <c r="B32">
        <v>2</v>
      </c>
    </row>
    <row r="33" spans="1:4" x14ac:dyDescent="0.35">
      <c r="A33" s="13" t="s">
        <v>333</v>
      </c>
      <c r="B33">
        <v>1</v>
      </c>
      <c r="D33" s="11" t="s">
        <v>334</v>
      </c>
    </row>
    <row r="34" spans="1:4" x14ac:dyDescent="0.35">
      <c r="A34" s="12" t="s">
        <v>45</v>
      </c>
      <c r="B34">
        <v>5</v>
      </c>
      <c r="D34" s="12" t="s">
        <v>7</v>
      </c>
    </row>
    <row r="35" spans="1:4" x14ac:dyDescent="0.35">
      <c r="A35" s="13" t="s">
        <v>329</v>
      </c>
      <c r="B35">
        <v>1</v>
      </c>
      <c r="D35" s="12" t="s">
        <v>14</v>
      </c>
    </row>
    <row r="36" spans="1:4" x14ac:dyDescent="0.35">
      <c r="A36" s="13" t="s">
        <v>327</v>
      </c>
      <c r="B36">
        <v>3</v>
      </c>
      <c r="D36" s="12" t="s">
        <v>21</v>
      </c>
    </row>
    <row r="37" spans="1:4" x14ac:dyDescent="0.35">
      <c r="A37" s="13" t="s">
        <v>331</v>
      </c>
      <c r="B37">
        <v>1</v>
      </c>
      <c r="D37" s="12" t="s">
        <v>24</v>
      </c>
    </row>
    <row r="38" spans="1:4" x14ac:dyDescent="0.35">
      <c r="A38" s="12" t="s">
        <v>49</v>
      </c>
      <c r="B38">
        <v>5</v>
      </c>
      <c r="D38" s="12" t="s">
        <v>28</v>
      </c>
    </row>
    <row r="39" spans="1:4" x14ac:dyDescent="0.35">
      <c r="A39" s="13" t="s">
        <v>329</v>
      </c>
      <c r="B39">
        <v>2</v>
      </c>
      <c r="D39" s="12" t="s">
        <v>33</v>
      </c>
    </row>
    <row r="40" spans="1:4" x14ac:dyDescent="0.35">
      <c r="A40" s="13" t="s">
        <v>327</v>
      </c>
      <c r="B40">
        <v>2</v>
      </c>
      <c r="D40" s="12" t="s">
        <v>38</v>
      </c>
    </row>
    <row r="41" spans="1:4" x14ac:dyDescent="0.35">
      <c r="A41" s="13" t="s">
        <v>333</v>
      </c>
      <c r="B41">
        <v>1</v>
      </c>
      <c r="D41" s="12" t="s">
        <v>42</v>
      </c>
    </row>
    <row r="42" spans="1:4" x14ac:dyDescent="0.35">
      <c r="A42" s="12" t="s">
        <v>52</v>
      </c>
      <c r="B42">
        <v>4</v>
      </c>
      <c r="D42" s="12" t="s">
        <v>45</v>
      </c>
    </row>
    <row r="43" spans="1:4" x14ac:dyDescent="0.35">
      <c r="A43" s="13" t="s">
        <v>327</v>
      </c>
      <c r="B43">
        <v>4</v>
      </c>
      <c r="D43" s="12" t="s">
        <v>49</v>
      </c>
    </row>
    <row r="44" spans="1:4" x14ac:dyDescent="0.35">
      <c r="A44" s="12" t="s">
        <v>54</v>
      </c>
      <c r="B44">
        <v>4</v>
      </c>
      <c r="D44" s="12" t="s">
        <v>52</v>
      </c>
    </row>
    <row r="45" spans="1:4" x14ac:dyDescent="0.35">
      <c r="A45" s="13" t="s">
        <v>329</v>
      </c>
      <c r="B45">
        <v>1</v>
      </c>
      <c r="D45" s="12" t="s">
        <v>54</v>
      </c>
    </row>
    <row r="46" spans="1:4" x14ac:dyDescent="0.35">
      <c r="A46" s="13" t="s">
        <v>327</v>
      </c>
      <c r="B46">
        <v>2</v>
      </c>
      <c r="D46" s="12" t="s">
        <v>57</v>
      </c>
    </row>
    <row r="47" spans="1:4" x14ac:dyDescent="0.35">
      <c r="A47" s="13" t="s">
        <v>333</v>
      </c>
      <c r="B47">
        <v>1</v>
      </c>
      <c r="D47" s="12" t="s">
        <v>60</v>
      </c>
    </row>
    <row r="48" spans="1:4" x14ac:dyDescent="0.35">
      <c r="A48" s="12" t="s">
        <v>57</v>
      </c>
      <c r="B48">
        <v>4</v>
      </c>
      <c r="D48" s="12" t="s">
        <v>64</v>
      </c>
    </row>
    <row r="49" spans="1:4" x14ac:dyDescent="0.35">
      <c r="A49" s="13" t="s">
        <v>329</v>
      </c>
      <c r="B49">
        <v>1</v>
      </c>
      <c r="D49" s="12" t="s">
        <v>67</v>
      </c>
    </row>
    <row r="50" spans="1:4" x14ac:dyDescent="0.35">
      <c r="A50" s="13" t="s">
        <v>327</v>
      </c>
      <c r="B50">
        <v>2</v>
      </c>
      <c r="D50" s="12" t="s">
        <v>70</v>
      </c>
    </row>
    <row r="51" spans="1:4" x14ac:dyDescent="0.35">
      <c r="A51" s="13" t="s">
        <v>333</v>
      </c>
      <c r="B51">
        <v>1</v>
      </c>
      <c r="D51" s="12" t="s">
        <v>73</v>
      </c>
    </row>
    <row r="52" spans="1:4" x14ac:dyDescent="0.35">
      <c r="A52" s="12" t="s">
        <v>60</v>
      </c>
      <c r="B52">
        <v>4</v>
      </c>
      <c r="D52" s="12" t="s">
        <v>76</v>
      </c>
    </row>
    <row r="53" spans="1:4" x14ac:dyDescent="0.35">
      <c r="A53" s="13" t="s">
        <v>329</v>
      </c>
      <c r="B53">
        <v>1</v>
      </c>
      <c r="D53" s="12" t="s">
        <v>79</v>
      </c>
    </row>
    <row r="54" spans="1:4" x14ac:dyDescent="0.35">
      <c r="A54" s="13" t="s">
        <v>327</v>
      </c>
      <c r="B54">
        <v>2</v>
      </c>
      <c r="D54" s="12" t="s">
        <v>81</v>
      </c>
    </row>
    <row r="55" spans="1:4" x14ac:dyDescent="0.35">
      <c r="A55" s="13" t="s">
        <v>333</v>
      </c>
      <c r="B55">
        <v>1</v>
      </c>
      <c r="D55" s="12" t="s">
        <v>84</v>
      </c>
    </row>
    <row r="56" spans="1:4" x14ac:dyDescent="0.35">
      <c r="A56" s="12" t="s">
        <v>64</v>
      </c>
      <c r="B56">
        <v>4</v>
      </c>
      <c r="D56" s="12" t="s">
        <v>86</v>
      </c>
    </row>
    <row r="57" spans="1:4" x14ac:dyDescent="0.35">
      <c r="A57" s="13" t="s">
        <v>327</v>
      </c>
      <c r="B57">
        <v>2</v>
      </c>
      <c r="D57" s="12" t="s">
        <v>88</v>
      </c>
    </row>
    <row r="58" spans="1:4" x14ac:dyDescent="0.35">
      <c r="A58" s="13" t="s">
        <v>331</v>
      </c>
      <c r="B58">
        <v>1</v>
      </c>
      <c r="D58" s="12" t="s">
        <v>90</v>
      </c>
    </row>
    <row r="59" spans="1:4" x14ac:dyDescent="0.35">
      <c r="A59" s="13" t="s">
        <v>333</v>
      </c>
      <c r="B59">
        <v>1</v>
      </c>
      <c r="D59" s="12" t="s">
        <v>92</v>
      </c>
    </row>
    <row r="60" spans="1:4" x14ac:dyDescent="0.35">
      <c r="A60" s="12" t="s">
        <v>67</v>
      </c>
      <c r="B60">
        <v>4</v>
      </c>
      <c r="D60" s="12" t="s">
        <v>94</v>
      </c>
    </row>
    <row r="61" spans="1:4" x14ac:dyDescent="0.35">
      <c r="A61" s="13" t="s">
        <v>329</v>
      </c>
      <c r="B61">
        <v>1</v>
      </c>
      <c r="D61" s="12" t="s">
        <v>96</v>
      </c>
    </row>
    <row r="62" spans="1:4" x14ac:dyDescent="0.35">
      <c r="A62" s="13" t="s">
        <v>327</v>
      </c>
      <c r="B62">
        <v>1</v>
      </c>
      <c r="D62" s="12" t="s">
        <v>98</v>
      </c>
    </row>
    <row r="63" spans="1:4" x14ac:dyDescent="0.35">
      <c r="A63" s="13" t="s">
        <v>331</v>
      </c>
      <c r="B63">
        <v>1</v>
      </c>
      <c r="D63" s="12" t="s">
        <v>100</v>
      </c>
    </row>
    <row r="64" spans="1:4" x14ac:dyDescent="0.35">
      <c r="A64" s="13" t="s">
        <v>333</v>
      </c>
      <c r="B64">
        <v>1</v>
      </c>
      <c r="D64" s="12" t="s">
        <v>335</v>
      </c>
    </row>
    <row r="65" spans="1:2" x14ac:dyDescent="0.35">
      <c r="A65" s="12" t="s">
        <v>70</v>
      </c>
      <c r="B65">
        <v>4</v>
      </c>
    </row>
    <row r="66" spans="1:2" x14ac:dyDescent="0.35">
      <c r="A66" s="13" t="s">
        <v>329</v>
      </c>
      <c r="B66">
        <v>2</v>
      </c>
    </row>
    <row r="67" spans="1:2" x14ac:dyDescent="0.35">
      <c r="A67" s="13" t="s">
        <v>327</v>
      </c>
      <c r="B67">
        <v>2</v>
      </c>
    </row>
    <row r="68" spans="1:2" x14ac:dyDescent="0.35">
      <c r="A68" s="12" t="s">
        <v>73</v>
      </c>
      <c r="B68">
        <v>4</v>
      </c>
    </row>
    <row r="69" spans="1:2" x14ac:dyDescent="0.35">
      <c r="A69" s="13" t="s">
        <v>327</v>
      </c>
      <c r="B69">
        <v>3</v>
      </c>
    </row>
    <row r="70" spans="1:2" x14ac:dyDescent="0.35">
      <c r="A70" s="13" t="s">
        <v>333</v>
      </c>
      <c r="B70">
        <v>1</v>
      </c>
    </row>
    <row r="71" spans="1:2" x14ac:dyDescent="0.35">
      <c r="A71" s="12" t="s">
        <v>76</v>
      </c>
      <c r="B71">
        <v>4</v>
      </c>
    </row>
    <row r="72" spans="1:2" x14ac:dyDescent="0.35">
      <c r="A72" s="13" t="s">
        <v>329</v>
      </c>
      <c r="B72">
        <v>1</v>
      </c>
    </row>
    <row r="73" spans="1:2" x14ac:dyDescent="0.35">
      <c r="A73" s="13" t="s">
        <v>327</v>
      </c>
      <c r="B73">
        <v>2</v>
      </c>
    </row>
    <row r="74" spans="1:2" x14ac:dyDescent="0.35">
      <c r="A74" s="13" t="s">
        <v>333</v>
      </c>
      <c r="B74">
        <v>1</v>
      </c>
    </row>
    <row r="75" spans="1:2" x14ac:dyDescent="0.35">
      <c r="A75" s="12" t="s">
        <v>79</v>
      </c>
      <c r="B75">
        <v>4</v>
      </c>
    </row>
    <row r="76" spans="1:2" x14ac:dyDescent="0.35">
      <c r="A76" s="13" t="s">
        <v>329</v>
      </c>
      <c r="B76">
        <v>1</v>
      </c>
    </row>
    <row r="77" spans="1:2" x14ac:dyDescent="0.35">
      <c r="A77" s="13" t="s">
        <v>333</v>
      </c>
      <c r="B77">
        <v>3</v>
      </c>
    </row>
    <row r="78" spans="1:2" x14ac:dyDescent="0.35">
      <c r="A78" s="12" t="s">
        <v>81</v>
      </c>
      <c r="B78">
        <v>4</v>
      </c>
    </row>
    <row r="79" spans="1:2" x14ac:dyDescent="0.35">
      <c r="A79" s="13" t="s">
        <v>327</v>
      </c>
      <c r="B79">
        <v>2</v>
      </c>
    </row>
    <row r="80" spans="1:2" x14ac:dyDescent="0.35">
      <c r="A80" s="13" t="s">
        <v>331</v>
      </c>
      <c r="B80">
        <v>1</v>
      </c>
    </row>
    <row r="81" spans="1:2" x14ac:dyDescent="0.35">
      <c r="A81" s="13" t="s">
        <v>333</v>
      </c>
      <c r="B81">
        <v>1</v>
      </c>
    </row>
    <row r="82" spans="1:2" x14ac:dyDescent="0.35">
      <c r="A82" s="12" t="s">
        <v>84</v>
      </c>
      <c r="B82">
        <v>4</v>
      </c>
    </row>
    <row r="83" spans="1:2" x14ac:dyDescent="0.35">
      <c r="A83" s="13" t="s">
        <v>329</v>
      </c>
      <c r="B83">
        <v>3</v>
      </c>
    </row>
    <row r="84" spans="1:2" x14ac:dyDescent="0.35">
      <c r="A84" s="13" t="s">
        <v>331</v>
      </c>
      <c r="B84">
        <v>1</v>
      </c>
    </row>
    <row r="85" spans="1:2" x14ac:dyDescent="0.35">
      <c r="A85" s="12" t="s">
        <v>86</v>
      </c>
      <c r="B85">
        <v>4</v>
      </c>
    </row>
    <row r="86" spans="1:2" x14ac:dyDescent="0.35">
      <c r="A86" s="13" t="s">
        <v>329</v>
      </c>
      <c r="B86">
        <v>1</v>
      </c>
    </row>
    <row r="87" spans="1:2" x14ac:dyDescent="0.35">
      <c r="A87" s="13" t="s">
        <v>327</v>
      </c>
      <c r="B87">
        <v>2</v>
      </c>
    </row>
    <row r="88" spans="1:2" x14ac:dyDescent="0.35">
      <c r="A88" s="13" t="s">
        <v>333</v>
      </c>
      <c r="B88">
        <v>1</v>
      </c>
    </row>
    <row r="89" spans="1:2" x14ac:dyDescent="0.35">
      <c r="A89" s="12" t="s">
        <v>88</v>
      </c>
      <c r="B89">
        <v>4</v>
      </c>
    </row>
    <row r="90" spans="1:2" x14ac:dyDescent="0.35">
      <c r="A90" s="13" t="s">
        <v>327</v>
      </c>
      <c r="B90">
        <v>3</v>
      </c>
    </row>
    <row r="91" spans="1:2" x14ac:dyDescent="0.35">
      <c r="A91" s="13" t="s">
        <v>331</v>
      </c>
      <c r="B91">
        <v>1</v>
      </c>
    </row>
    <row r="92" spans="1:2" x14ac:dyDescent="0.35">
      <c r="A92" s="12" t="s">
        <v>90</v>
      </c>
      <c r="B92">
        <v>4</v>
      </c>
    </row>
    <row r="93" spans="1:2" x14ac:dyDescent="0.35">
      <c r="A93" s="13" t="s">
        <v>327</v>
      </c>
      <c r="B93">
        <v>3</v>
      </c>
    </row>
    <row r="94" spans="1:2" x14ac:dyDescent="0.35">
      <c r="A94" s="13" t="s">
        <v>333</v>
      </c>
      <c r="B94">
        <v>1</v>
      </c>
    </row>
    <row r="95" spans="1:2" x14ac:dyDescent="0.35">
      <c r="A95" s="12" t="s">
        <v>92</v>
      </c>
      <c r="B95">
        <v>4</v>
      </c>
    </row>
    <row r="96" spans="1:2" x14ac:dyDescent="0.35">
      <c r="A96" s="13" t="s">
        <v>329</v>
      </c>
      <c r="B96">
        <v>1</v>
      </c>
    </row>
    <row r="97" spans="1:2" x14ac:dyDescent="0.35">
      <c r="A97" s="13" t="s">
        <v>333</v>
      </c>
      <c r="B97">
        <v>3</v>
      </c>
    </row>
    <row r="98" spans="1:2" x14ac:dyDescent="0.35">
      <c r="A98" s="12" t="s">
        <v>94</v>
      </c>
      <c r="B98">
        <v>4</v>
      </c>
    </row>
    <row r="99" spans="1:2" x14ac:dyDescent="0.35">
      <c r="A99" s="13" t="s">
        <v>329</v>
      </c>
      <c r="B99">
        <v>2</v>
      </c>
    </row>
    <row r="100" spans="1:2" x14ac:dyDescent="0.35">
      <c r="A100" s="13" t="s">
        <v>333</v>
      </c>
      <c r="B100">
        <v>2</v>
      </c>
    </row>
    <row r="101" spans="1:2" x14ac:dyDescent="0.35">
      <c r="A101" s="12" t="s">
        <v>96</v>
      </c>
      <c r="B101">
        <v>4</v>
      </c>
    </row>
    <row r="102" spans="1:2" x14ac:dyDescent="0.35">
      <c r="A102" s="13" t="s">
        <v>327</v>
      </c>
      <c r="B102">
        <v>3</v>
      </c>
    </row>
    <row r="103" spans="1:2" x14ac:dyDescent="0.35">
      <c r="A103" s="13" t="s">
        <v>333</v>
      </c>
      <c r="B103">
        <v>1</v>
      </c>
    </row>
    <row r="104" spans="1:2" x14ac:dyDescent="0.35">
      <c r="A104" s="12" t="s">
        <v>98</v>
      </c>
      <c r="B104">
        <v>4</v>
      </c>
    </row>
    <row r="105" spans="1:2" x14ac:dyDescent="0.35">
      <c r="A105" s="13" t="s">
        <v>327</v>
      </c>
      <c r="B105">
        <v>2</v>
      </c>
    </row>
    <row r="106" spans="1:2" x14ac:dyDescent="0.35">
      <c r="A106" s="13" t="s">
        <v>331</v>
      </c>
      <c r="B106">
        <v>2</v>
      </c>
    </row>
    <row r="107" spans="1:2" x14ac:dyDescent="0.35">
      <c r="A107" s="12" t="s">
        <v>100</v>
      </c>
      <c r="B107">
        <v>4</v>
      </c>
    </row>
    <row r="108" spans="1:2" x14ac:dyDescent="0.35">
      <c r="A108" s="13" t="s">
        <v>329</v>
      </c>
      <c r="B108">
        <v>2</v>
      </c>
    </row>
    <row r="109" spans="1:2" x14ac:dyDescent="0.35">
      <c r="A109" s="13" t="s">
        <v>331</v>
      </c>
      <c r="B109">
        <v>2</v>
      </c>
    </row>
    <row r="110" spans="1:2" x14ac:dyDescent="0.35">
      <c r="A110" s="12" t="s">
        <v>335</v>
      </c>
      <c r="B110">
        <v>130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DDC0-52C2-46BB-9A9A-C0AC29239667}">
  <dimension ref="A1:J131"/>
  <sheetViews>
    <sheetView zoomScale="58" workbookViewId="0">
      <selection activeCell="J21" sqref="J21"/>
    </sheetView>
  </sheetViews>
  <sheetFormatPr defaultRowHeight="14.5" x14ac:dyDescent="0.35"/>
  <cols>
    <col min="1" max="1" width="23.1796875" bestFit="1" customWidth="1"/>
    <col min="2" max="2" width="33" bestFit="1" customWidth="1"/>
    <col min="3" max="3" width="28.26953125" bestFit="1" customWidth="1"/>
    <col min="4" max="4" width="14.26953125" bestFit="1" customWidth="1"/>
    <col min="5" max="5" width="17.26953125" bestFit="1" customWidth="1"/>
    <col min="6" max="6" width="4.1796875" bestFit="1" customWidth="1"/>
    <col min="7" max="7" width="21.26953125" bestFit="1" customWidth="1"/>
    <col min="8" max="8" width="23.1796875" bestFit="1" customWidth="1"/>
    <col min="10" max="10" width="46.90625" bestFit="1" customWidth="1"/>
  </cols>
  <sheetData>
    <row r="1" spans="1:10" x14ac:dyDescent="0.35">
      <c r="A1" s="1" t="s">
        <v>0</v>
      </c>
      <c r="B1" s="2" t="s">
        <v>348</v>
      </c>
      <c r="C1" s="2" t="s">
        <v>350</v>
      </c>
      <c r="D1" t="s">
        <v>349</v>
      </c>
    </row>
    <row r="2" spans="1:10" x14ac:dyDescent="0.35">
      <c r="A2" s="2" t="s">
        <v>7</v>
      </c>
      <c r="B2">
        <f t="shared" ref="B2:B33" ca="1" si="0">RANDBETWEEN(2,50)</f>
        <v>7</v>
      </c>
      <c r="C2">
        <f>MONTH(DATEVALUE("1-" &amp; Table2[[#This Row],[Month]] &amp; "-2024"))</f>
        <v>1</v>
      </c>
      <c r="D2" t="str">
        <f ca="1">IF(AND(B2&lt;5,C2=0),"High Risk",IF(B2&lt;10,"Medium Risk","Low Risk"))</f>
        <v>Medium Risk</v>
      </c>
    </row>
    <row r="3" spans="1:10" x14ac:dyDescent="0.35">
      <c r="A3" t="s">
        <v>14</v>
      </c>
      <c r="B3">
        <f t="shared" ca="1" si="0"/>
        <v>35</v>
      </c>
      <c r="C3">
        <f>MONTH(DATEVALUE("1-" &amp; Table2[[#This Row],[Month]] &amp; "-2024"))</f>
        <v>2</v>
      </c>
      <c r="D3" t="str">
        <f t="shared" ref="D3:D66" ca="1" si="1">IF(AND(B3&lt;5,C3=0),"High Risk",IF(B3&lt;10,"Medium Risk","Low Risk"))</f>
        <v>Low Risk</v>
      </c>
    </row>
    <row r="4" spans="1:10" x14ac:dyDescent="0.35">
      <c r="A4" t="s">
        <v>21</v>
      </c>
      <c r="B4">
        <f t="shared" ca="1" si="0"/>
        <v>8</v>
      </c>
      <c r="C4">
        <f>MONTH(DATEVALUE("1-" &amp; Table2[[#This Row],[Month]] &amp; "-2024"))</f>
        <v>3</v>
      </c>
      <c r="D4" t="str">
        <f t="shared" ca="1" si="1"/>
        <v>Medium Risk</v>
      </c>
      <c r="J4" s="20" t="s">
        <v>343</v>
      </c>
    </row>
    <row r="5" spans="1:10" x14ac:dyDescent="0.35">
      <c r="A5" t="s">
        <v>24</v>
      </c>
      <c r="B5">
        <f t="shared" ca="1" si="0"/>
        <v>15</v>
      </c>
      <c r="C5">
        <f>MONTH(DATEVALUE("1-" &amp; Table2[[#This Row],[Month]] &amp; "-2024"))</f>
        <v>4</v>
      </c>
      <c r="D5" t="str">
        <f t="shared" ca="1" si="1"/>
        <v>Low Risk</v>
      </c>
      <c r="G5" s="11" t="s">
        <v>334</v>
      </c>
      <c r="H5" t="s">
        <v>353</v>
      </c>
      <c r="J5" s="21" t="s">
        <v>355</v>
      </c>
    </row>
    <row r="6" spans="1:10" x14ac:dyDescent="0.35">
      <c r="A6" t="s">
        <v>28</v>
      </c>
      <c r="B6">
        <f t="shared" ca="1" si="0"/>
        <v>49</v>
      </c>
      <c r="C6">
        <f>MONTH(DATEVALUE("1-" &amp; Table2[[#This Row],[Month]] &amp; "-2024"))</f>
        <v>5</v>
      </c>
      <c r="D6" t="str">
        <f t="shared" ca="1" si="1"/>
        <v>Low Risk</v>
      </c>
      <c r="G6" s="12" t="s">
        <v>351</v>
      </c>
      <c r="H6">
        <v>114</v>
      </c>
      <c r="J6" s="21" t="s">
        <v>354</v>
      </c>
    </row>
    <row r="7" spans="1:10" x14ac:dyDescent="0.35">
      <c r="A7" t="s">
        <v>33</v>
      </c>
      <c r="B7">
        <f t="shared" ca="1" si="0"/>
        <v>19</v>
      </c>
      <c r="C7">
        <f>MONTH(DATEVALUE("1-" &amp; Table2[[#This Row],[Month]] &amp; "-2024"))</f>
        <v>6</v>
      </c>
      <c r="D7" t="str">
        <f t="shared" ca="1" si="1"/>
        <v>Low Risk</v>
      </c>
      <c r="G7" s="12" t="s">
        <v>352</v>
      </c>
      <c r="H7">
        <v>16</v>
      </c>
    </row>
    <row r="8" spans="1:10" x14ac:dyDescent="0.35">
      <c r="A8" t="s">
        <v>38</v>
      </c>
      <c r="B8">
        <f t="shared" ca="1" si="0"/>
        <v>23</v>
      </c>
      <c r="C8">
        <f>MONTH(DATEVALUE("1-" &amp; Table2[[#This Row],[Month]] &amp; "-2024"))</f>
        <v>7</v>
      </c>
      <c r="D8" t="str">
        <f t="shared" ca="1" si="1"/>
        <v>Low Risk</v>
      </c>
      <c r="G8" s="12" t="s">
        <v>335</v>
      </c>
      <c r="H8">
        <v>130</v>
      </c>
      <c r="J8" s="23" t="s">
        <v>356</v>
      </c>
    </row>
    <row r="9" spans="1:10" x14ac:dyDescent="0.35">
      <c r="A9" t="s">
        <v>42</v>
      </c>
      <c r="B9">
        <f t="shared" ca="1" si="0"/>
        <v>27</v>
      </c>
      <c r="C9">
        <f>MONTH(DATEVALUE("1-" &amp; Table2[[#This Row],[Month]] &amp; "-2024"))</f>
        <v>8</v>
      </c>
      <c r="D9" t="str">
        <f t="shared" ca="1" si="1"/>
        <v>Low Risk</v>
      </c>
      <c r="J9" s="24" t="s">
        <v>359</v>
      </c>
    </row>
    <row r="10" spans="1:10" x14ac:dyDescent="0.35">
      <c r="A10" t="s">
        <v>45</v>
      </c>
      <c r="B10">
        <f t="shared" ca="1" si="0"/>
        <v>41</v>
      </c>
      <c r="C10">
        <f>MONTH(DATEVALUE("1-" &amp; Table2[[#This Row],[Month]] &amp; "-2024"))</f>
        <v>9</v>
      </c>
      <c r="D10" t="str">
        <f t="shared" ca="1" si="1"/>
        <v>Low Risk</v>
      </c>
      <c r="G10" s="14" t="s">
        <v>351</v>
      </c>
      <c r="H10" s="15">
        <f>H6/H8</f>
        <v>0.87692307692307692</v>
      </c>
      <c r="J10" s="24" t="s">
        <v>357</v>
      </c>
    </row>
    <row r="11" spans="1:10" x14ac:dyDescent="0.35">
      <c r="A11" t="s">
        <v>49</v>
      </c>
      <c r="B11">
        <f t="shared" ca="1" si="0"/>
        <v>14</v>
      </c>
      <c r="C11">
        <f>MONTH(DATEVALUE("1-" &amp; Table2[[#This Row],[Month]] &amp; "-2024"))</f>
        <v>10</v>
      </c>
      <c r="D11" t="str">
        <f t="shared" ca="1" si="1"/>
        <v>Low Risk</v>
      </c>
      <c r="G11" s="14" t="s">
        <v>352</v>
      </c>
      <c r="H11" s="15">
        <f>H7/H8</f>
        <v>0.12307692307692308</v>
      </c>
      <c r="J11" s="24" t="s">
        <v>358</v>
      </c>
    </row>
    <row r="12" spans="1:10" x14ac:dyDescent="0.35">
      <c r="A12" t="s">
        <v>52</v>
      </c>
      <c r="B12">
        <f t="shared" ca="1" si="0"/>
        <v>3</v>
      </c>
      <c r="C12">
        <f>MONTH(DATEVALUE("1-" &amp; Table2[[#This Row],[Month]] &amp; "-2024"))</f>
        <v>11</v>
      </c>
      <c r="D12" t="str">
        <f t="shared" ca="1" si="1"/>
        <v>Medium Risk</v>
      </c>
    </row>
    <row r="13" spans="1:10" x14ac:dyDescent="0.35">
      <c r="A13" t="s">
        <v>54</v>
      </c>
      <c r="B13">
        <f t="shared" ca="1" si="0"/>
        <v>12</v>
      </c>
      <c r="C13">
        <f>MONTH(DATEVALUE("1-" &amp; Table2[[#This Row],[Month]] &amp; "-2024"))</f>
        <v>12</v>
      </c>
      <c r="D13" t="str">
        <f t="shared" ca="1" si="1"/>
        <v>Low Risk</v>
      </c>
    </row>
    <row r="14" spans="1:10" x14ac:dyDescent="0.35">
      <c r="A14" t="s">
        <v>57</v>
      </c>
      <c r="B14">
        <f t="shared" ca="1" si="0"/>
        <v>25</v>
      </c>
      <c r="C14">
        <f>MONTH(DATEVALUE("1-" &amp; Table2[[#This Row],[Month]] &amp; "-2024"))</f>
        <v>1</v>
      </c>
      <c r="D14" t="str">
        <f t="shared" ca="1" si="1"/>
        <v>Low Risk</v>
      </c>
    </row>
    <row r="15" spans="1:10" x14ac:dyDescent="0.35">
      <c r="A15" t="s">
        <v>60</v>
      </c>
      <c r="B15">
        <f t="shared" ca="1" si="0"/>
        <v>38</v>
      </c>
      <c r="C15">
        <f>MONTH(DATEVALUE("1-" &amp; Table2[[#This Row],[Month]] &amp; "-2024"))</f>
        <v>2</v>
      </c>
      <c r="D15" t="str">
        <f t="shared" ca="1" si="1"/>
        <v>Low Risk</v>
      </c>
    </row>
    <row r="16" spans="1:10" x14ac:dyDescent="0.35">
      <c r="A16" t="s">
        <v>64</v>
      </c>
      <c r="B16">
        <f t="shared" ca="1" si="0"/>
        <v>28</v>
      </c>
      <c r="C16">
        <f>MONTH(DATEVALUE("1-" &amp; Table2[[#This Row],[Month]] &amp; "-2024"))</f>
        <v>3</v>
      </c>
      <c r="D16" t="str">
        <f t="shared" ca="1" si="1"/>
        <v>Low Risk</v>
      </c>
    </row>
    <row r="17" spans="1:4" x14ac:dyDescent="0.35">
      <c r="A17" t="s">
        <v>67</v>
      </c>
      <c r="B17">
        <f t="shared" ca="1" si="0"/>
        <v>14</v>
      </c>
      <c r="C17">
        <f>MONTH(DATEVALUE("1-" &amp; Table2[[#This Row],[Month]] &amp; "-2024"))</f>
        <v>4</v>
      </c>
      <c r="D17" t="str">
        <f t="shared" ca="1" si="1"/>
        <v>Low Risk</v>
      </c>
    </row>
    <row r="18" spans="1:4" x14ac:dyDescent="0.35">
      <c r="A18" t="s">
        <v>70</v>
      </c>
      <c r="B18">
        <f t="shared" ca="1" si="0"/>
        <v>33</v>
      </c>
      <c r="C18">
        <f>MONTH(DATEVALUE("1-" &amp; Table2[[#This Row],[Month]] &amp; "-2024"))</f>
        <v>5</v>
      </c>
      <c r="D18" t="str">
        <f t="shared" ca="1" si="1"/>
        <v>Low Risk</v>
      </c>
    </row>
    <row r="19" spans="1:4" x14ac:dyDescent="0.35">
      <c r="A19" t="s">
        <v>73</v>
      </c>
      <c r="B19">
        <f t="shared" ca="1" si="0"/>
        <v>36</v>
      </c>
      <c r="C19">
        <f>MONTH(DATEVALUE("1-" &amp; Table2[[#This Row],[Month]] &amp; "-2024"))</f>
        <v>6</v>
      </c>
      <c r="D19" t="str">
        <f t="shared" ca="1" si="1"/>
        <v>Low Risk</v>
      </c>
    </row>
    <row r="20" spans="1:4" x14ac:dyDescent="0.35">
      <c r="A20" t="s">
        <v>76</v>
      </c>
      <c r="B20">
        <f t="shared" ca="1" si="0"/>
        <v>5</v>
      </c>
      <c r="C20">
        <f>MONTH(DATEVALUE("1-" &amp; Table2[[#This Row],[Month]] &amp; "-2024"))</f>
        <v>7</v>
      </c>
      <c r="D20" t="str">
        <f t="shared" ca="1" si="1"/>
        <v>Medium Risk</v>
      </c>
    </row>
    <row r="21" spans="1:4" x14ac:dyDescent="0.35">
      <c r="A21" t="s">
        <v>79</v>
      </c>
      <c r="B21">
        <f t="shared" ca="1" si="0"/>
        <v>9</v>
      </c>
      <c r="C21">
        <f>MONTH(DATEVALUE("1-" &amp; Table2[[#This Row],[Month]] &amp; "-2024"))</f>
        <v>8</v>
      </c>
      <c r="D21" t="str">
        <f t="shared" ca="1" si="1"/>
        <v>Medium Risk</v>
      </c>
    </row>
    <row r="22" spans="1:4" x14ac:dyDescent="0.35">
      <c r="A22" t="s">
        <v>81</v>
      </c>
      <c r="B22">
        <f t="shared" ca="1" si="0"/>
        <v>36</v>
      </c>
      <c r="C22">
        <f>MONTH(DATEVALUE("1-" &amp; Table2[[#This Row],[Month]] &amp; "-2024"))</f>
        <v>9</v>
      </c>
      <c r="D22" t="str">
        <f t="shared" ca="1" si="1"/>
        <v>Low Risk</v>
      </c>
    </row>
    <row r="23" spans="1:4" x14ac:dyDescent="0.35">
      <c r="A23" t="s">
        <v>84</v>
      </c>
      <c r="B23">
        <f t="shared" ca="1" si="0"/>
        <v>34</v>
      </c>
      <c r="C23">
        <f>MONTH(DATEVALUE("1-" &amp; Table2[[#This Row],[Month]] &amp; "-2024"))</f>
        <v>10</v>
      </c>
      <c r="D23" t="str">
        <f t="shared" ca="1" si="1"/>
        <v>Low Risk</v>
      </c>
    </row>
    <row r="24" spans="1:4" x14ac:dyDescent="0.35">
      <c r="A24" t="s">
        <v>86</v>
      </c>
      <c r="B24">
        <f t="shared" ca="1" si="0"/>
        <v>48</v>
      </c>
      <c r="C24">
        <f>MONTH(DATEVALUE("1-" &amp; Table2[[#This Row],[Month]] &amp; "-2024"))</f>
        <v>11</v>
      </c>
      <c r="D24" t="str">
        <f t="shared" ca="1" si="1"/>
        <v>Low Risk</v>
      </c>
    </row>
    <row r="25" spans="1:4" x14ac:dyDescent="0.35">
      <c r="A25" t="s">
        <v>88</v>
      </c>
      <c r="B25">
        <f t="shared" ca="1" si="0"/>
        <v>47</v>
      </c>
      <c r="C25">
        <f>MONTH(DATEVALUE("1-" &amp; Table2[[#This Row],[Month]] &amp; "-2024"))</f>
        <v>12</v>
      </c>
      <c r="D25" t="str">
        <f t="shared" ca="1" si="1"/>
        <v>Low Risk</v>
      </c>
    </row>
    <row r="26" spans="1:4" x14ac:dyDescent="0.35">
      <c r="A26" t="s">
        <v>90</v>
      </c>
      <c r="B26">
        <f t="shared" ca="1" si="0"/>
        <v>43</v>
      </c>
      <c r="C26">
        <f>MONTH(DATEVALUE("1-" &amp; Table2[[#This Row],[Month]] &amp; "-2024"))</f>
        <v>1</v>
      </c>
      <c r="D26" t="str">
        <f t="shared" ca="1" si="1"/>
        <v>Low Risk</v>
      </c>
    </row>
    <row r="27" spans="1:4" x14ac:dyDescent="0.35">
      <c r="A27" t="s">
        <v>92</v>
      </c>
      <c r="B27">
        <f t="shared" ca="1" si="0"/>
        <v>10</v>
      </c>
      <c r="C27">
        <f>MONTH(DATEVALUE("1-" &amp; Table2[[#This Row],[Month]] &amp; "-2024"))</f>
        <v>2</v>
      </c>
      <c r="D27" t="str">
        <f t="shared" ca="1" si="1"/>
        <v>Low Risk</v>
      </c>
    </row>
    <row r="28" spans="1:4" x14ac:dyDescent="0.35">
      <c r="A28" t="s">
        <v>94</v>
      </c>
      <c r="B28">
        <f t="shared" ca="1" si="0"/>
        <v>4</v>
      </c>
      <c r="C28">
        <f>MONTH(DATEVALUE("1-" &amp; Table2[[#This Row],[Month]] &amp; "-2024"))</f>
        <v>3</v>
      </c>
      <c r="D28" t="str">
        <f t="shared" ca="1" si="1"/>
        <v>Medium Risk</v>
      </c>
    </row>
    <row r="29" spans="1:4" x14ac:dyDescent="0.35">
      <c r="A29" t="s">
        <v>96</v>
      </c>
      <c r="B29">
        <f t="shared" ca="1" si="0"/>
        <v>48</v>
      </c>
      <c r="C29">
        <f>MONTH(DATEVALUE("1-" &amp; Table2[[#This Row],[Month]] &amp; "-2024"))</f>
        <v>4</v>
      </c>
      <c r="D29" t="str">
        <f t="shared" ca="1" si="1"/>
        <v>Low Risk</v>
      </c>
    </row>
    <row r="30" spans="1:4" x14ac:dyDescent="0.35">
      <c r="A30" t="s">
        <v>98</v>
      </c>
      <c r="B30">
        <f t="shared" ca="1" si="0"/>
        <v>4</v>
      </c>
      <c r="C30">
        <f>MONTH(DATEVALUE("1-" &amp; Table2[[#This Row],[Month]] &amp; "-2024"))</f>
        <v>5</v>
      </c>
      <c r="D30" t="str">
        <f t="shared" ca="1" si="1"/>
        <v>Medium Risk</v>
      </c>
    </row>
    <row r="31" spans="1:4" x14ac:dyDescent="0.35">
      <c r="A31" t="s">
        <v>100</v>
      </c>
      <c r="B31">
        <f t="shared" ca="1" si="0"/>
        <v>18</v>
      </c>
      <c r="C31">
        <f>MONTH(DATEVALUE("1-" &amp; Table2[[#This Row],[Month]] &amp; "-2024"))</f>
        <v>6</v>
      </c>
      <c r="D31" t="str">
        <f t="shared" ca="1" si="1"/>
        <v>Low Risk</v>
      </c>
    </row>
    <row r="32" spans="1:4" x14ac:dyDescent="0.35">
      <c r="A32" t="s">
        <v>7</v>
      </c>
      <c r="B32">
        <f t="shared" ca="1" si="0"/>
        <v>44</v>
      </c>
      <c r="C32">
        <f>MONTH(DATEVALUE("1-" &amp; Table2[[#This Row],[Month]] &amp; "-2024"))</f>
        <v>7</v>
      </c>
      <c r="D32" t="str">
        <f t="shared" ca="1" si="1"/>
        <v>Low Risk</v>
      </c>
    </row>
    <row r="33" spans="1:4" x14ac:dyDescent="0.35">
      <c r="A33" t="s">
        <v>14</v>
      </c>
      <c r="B33">
        <f t="shared" ca="1" si="0"/>
        <v>37</v>
      </c>
      <c r="C33">
        <f>MONTH(DATEVALUE("1-" &amp; Table2[[#This Row],[Month]] &amp; "-2024"))</f>
        <v>8</v>
      </c>
      <c r="D33" t="str">
        <f t="shared" ca="1" si="1"/>
        <v>Low Risk</v>
      </c>
    </row>
    <row r="34" spans="1:4" x14ac:dyDescent="0.35">
      <c r="A34" t="s">
        <v>21</v>
      </c>
      <c r="B34">
        <f t="shared" ref="B34:B65" ca="1" si="2">RANDBETWEEN(2,50)</f>
        <v>5</v>
      </c>
      <c r="C34">
        <f>MONTH(DATEVALUE("1-" &amp; Table2[[#This Row],[Month]] &amp; "-2024"))</f>
        <v>9</v>
      </c>
      <c r="D34" t="str">
        <f t="shared" ca="1" si="1"/>
        <v>Medium Risk</v>
      </c>
    </row>
    <row r="35" spans="1:4" x14ac:dyDescent="0.35">
      <c r="A35" t="s">
        <v>24</v>
      </c>
      <c r="B35">
        <f t="shared" ca="1" si="2"/>
        <v>40</v>
      </c>
      <c r="C35">
        <f>MONTH(DATEVALUE("1-" &amp; Table2[[#This Row],[Month]] &amp; "-2024"))</f>
        <v>10</v>
      </c>
      <c r="D35" t="str">
        <f t="shared" ca="1" si="1"/>
        <v>Low Risk</v>
      </c>
    </row>
    <row r="36" spans="1:4" x14ac:dyDescent="0.35">
      <c r="A36" t="s">
        <v>28</v>
      </c>
      <c r="B36">
        <f t="shared" ca="1" si="2"/>
        <v>2</v>
      </c>
      <c r="C36">
        <f>MONTH(DATEVALUE("1-" &amp; Table2[[#This Row],[Month]] &amp; "-2024"))</f>
        <v>11</v>
      </c>
      <c r="D36" t="str">
        <f t="shared" ca="1" si="1"/>
        <v>Medium Risk</v>
      </c>
    </row>
    <row r="37" spans="1:4" x14ac:dyDescent="0.35">
      <c r="A37" t="s">
        <v>33</v>
      </c>
      <c r="B37">
        <f t="shared" ca="1" si="2"/>
        <v>15</v>
      </c>
      <c r="C37">
        <f>MONTH(DATEVALUE("1-" &amp; Table2[[#This Row],[Month]] &amp; "-2024"))</f>
        <v>12</v>
      </c>
      <c r="D37" t="str">
        <f t="shared" ca="1" si="1"/>
        <v>Low Risk</v>
      </c>
    </row>
    <row r="38" spans="1:4" x14ac:dyDescent="0.35">
      <c r="A38" t="s">
        <v>38</v>
      </c>
      <c r="B38">
        <f t="shared" ca="1" si="2"/>
        <v>49</v>
      </c>
      <c r="C38">
        <f>MONTH(DATEVALUE("1-" &amp; Table2[[#This Row],[Month]] &amp; "-2024"))</f>
        <v>1</v>
      </c>
      <c r="D38" t="str">
        <f t="shared" ca="1" si="1"/>
        <v>Low Risk</v>
      </c>
    </row>
    <row r="39" spans="1:4" x14ac:dyDescent="0.35">
      <c r="A39" t="s">
        <v>42</v>
      </c>
      <c r="B39">
        <f t="shared" ca="1" si="2"/>
        <v>6</v>
      </c>
      <c r="C39">
        <f>MONTH(DATEVALUE("1-" &amp; Table2[[#This Row],[Month]] &amp; "-2024"))</f>
        <v>2</v>
      </c>
      <c r="D39" t="str">
        <f t="shared" ca="1" si="1"/>
        <v>Medium Risk</v>
      </c>
    </row>
    <row r="40" spans="1:4" x14ac:dyDescent="0.35">
      <c r="A40" t="s">
        <v>45</v>
      </c>
      <c r="B40">
        <f t="shared" ca="1" si="2"/>
        <v>41</v>
      </c>
      <c r="C40">
        <f>MONTH(DATEVALUE("1-" &amp; Table2[[#This Row],[Month]] &amp; "-2024"))</f>
        <v>3</v>
      </c>
      <c r="D40" t="str">
        <f t="shared" ca="1" si="1"/>
        <v>Low Risk</v>
      </c>
    </row>
    <row r="41" spans="1:4" x14ac:dyDescent="0.35">
      <c r="A41" t="s">
        <v>49</v>
      </c>
      <c r="B41">
        <f t="shared" ca="1" si="2"/>
        <v>12</v>
      </c>
      <c r="C41">
        <f>MONTH(DATEVALUE("1-" &amp; Table2[[#This Row],[Month]] &amp; "-2024"))</f>
        <v>4</v>
      </c>
      <c r="D41" t="str">
        <f t="shared" ca="1" si="1"/>
        <v>Low Risk</v>
      </c>
    </row>
    <row r="42" spans="1:4" x14ac:dyDescent="0.35">
      <c r="A42" t="s">
        <v>52</v>
      </c>
      <c r="B42">
        <f t="shared" ca="1" si="2"/>
        <v>48</v>
      </c>
      <c r="C42">
        <f>MONTH(DATEVALUE("1-" &amp; Table2[[#This Row],[Month]] &amp; "-2024"))</f>
        <v>5</v>
      </c>
      <c r="D42" t="str">
        <f t="shared" ca="1" si="1"/>
        <v>Low Risk</v>
      </c>
    </row>
    <row r="43" spans="1:4" x14ac:dyDescent="0.35">
      <c r="A43" t="s">
        <v>54</v>
      </c>
      <c r="B43">
        <f t="shared" ca="1" si="2"/>
        <v>28</v>
      </c>
      <c r="C43">
        <f>MONTH(DATEVALUE("1-" &amp; Table2[[#This Row],[Month]] &amp; "-2024"))</f>
        <v>6</v>
      </c>
      <c r="D43" t="str">
        <f t="shared" ca="1" si="1"/>
        <v>Low Risk</v>
      </c>
    </row>
    <row r="44" spans="1:4" x14ac:dyDescent="0.35">
      <c r="A44" t="s">
        <v>57</v>
      </c>
      <c r="B44">
        <f t="shared" ca="1" si="2"/>
        <v>26</v>
      </c>
      <c r="C44">
        <f>MONTH(DATEVALUE("1-" &amp; Table2[[#This Row],[Month]] &amp; "-2024"))</f>
        <v>7</v>
      </c>
      <c r="D44" t="str">
        <f t="shared" ca="1" si="1"/>
        <v>Low Risk</v>
      </c>
    </row>
    <row r="45" spans="1:4" x14ac:dyDescent="0.35">
      <c r="A45" t="s">
        <v>60</v>
      </c>
      <c r="B45">
        <f t="shared" ca="1" si="2"/>
        <v>13</v>
      </c>
      <c r="C45">
        <f>MONTH(DATEVALUE("1-" &amp; Table2[[#This Row],[Month]] &amp; "-2024"))</f>
        <v>8</v>
      </c>
      <c r="D45" t="str">
        <f t="shared" ca="1" si="1"/>
        <v>Low Risk</v>
      </c>
    </row>
    <row r="46" spans="1:4" x14ac:dyDescent="0.35">
      <c r="A46" t="s">
        <v>64</v>
      </c>
      <c r="B46">
        <f t="shared" ca="1" si="2"/>
        <v>3</v>
      </c>
      <c r="C46">
        <f>MONTH(DATEVALUE("1-" &amp; Table2[[#This Row],[Month]] &amp; "-2024"))</f>
        <v>9</v>
      </c>
      <c r="D46" t="str">
        <f t="shared" ca="1" si="1"/>
        <v>Medium Risk</v>
      </c>
    </row>
    <row r="47" spans="1:4" x14ac:dyDescent="0.35">
      <c r="A47" t="s">
        <v>67</v>
      </c>
      <c r="B47">
        <f t="shared" ca="1" si="2"/>
        <v>14</v>
      </c>
      <c r="C47">
        <f>MONTH(DATEVALUE("1-" &amp; Table2[[#This Row],[Month]] &amp; "-2024"))</f>
        <v>10</v>
      </c>
      <c r="D47" t="str">
        <f t="shared" ca="1" si="1"/>
        <v>Low Risk</v>
      </c>
    </row>
    <row r="48" spans="1:4" x14ac:dyDescent="0.35">
      <c r="A48" t="s">
        <v>70</v>
      </c>
      <c r="B48">
        <f t="shared" ca="1" si="2"/>
        <v>21</v>
      </c>
      <c r="C48">
        <f>MONTH(DATEVALUE("1-" &amp; Table2[[#This Row],[Month]] &amp; "-2024"))</f>
        <v>11</v>
      </c>
      <c r="D48" t="str">
        <f t="shared" ca="1" si="1"/>
        <v>Low Risk</v>
      </c>
    </row>
    <row r="49" spans="1:4" x14ac:dyDescent="0.35">
      <c r="A49" t="s">
        <v>73</v>
      </c>
      <c r="B49">
        <f t="shared" ca="1" si="2"/>
        <v>35</v>
      </c>
      <c r="C49">
        <f>MONTH(DATEVALUE("1-" &amp; Table2[[#This Row],[Month]] &amp; "-2024"))</f>
        <v>12</v>
      </c>
      <c r="D49" t="str">
        <f t="shared" ca="1" si="1"/>
        <v>Low Risk</v>
      </c>
    </row>
    <row r="50" spans="1:4" x14ac:dyDescent="0.35">
      <c r="A50" t="s">
        <v>76</v>
      </c>
      <c r="B50">
        <f t="shared" ca="1" si="2"/>
        <v>45</v>
      </c>
      <c r="C50">
        <f>MONTH(DATEVALUE("1-" &amp; Table2[[#This Row],[Month]] &amp; "-2024"))</f>
        <v>1</v>
      </c>
      <c r="D50" t="str">
        <f t="shared" ca="1" si="1"/>
        <v>Low Risk</v>
      </c>
    </row>
    <row r="51" spans="1:4" x14ac:dyDescent="0.35">
      <c r="A51" t="s">
        <v>79</v>
      </c>
      <c r="B51">
        <f t="shared" ca="1" si="2"/>
        <v>9</v>
      </c>
      <c r="C51">
        <f>MONTH(DATEVALUE("1-" &amp; Table2[[#This Row],[Month]] &amp; "-2024"))</f>
        <v>2</v>
      </c>
      <c r="D51" t="str">
        <f t="shared" ca="1" si="1"/>
        <v>Medium Risk</v>
      </c>
    </row>
    <row r="52" spans="1:4" x14ac:dyDescent="0.35">
      <c r="A52" t="s">
        <v>81</v>
      </c>
      <c r="B52">
        <f t="shared" ca="1" si="2"/>
        <v>43</v>
      </c>
      <c r="C52">
        <f>MONTH(DATEVALUE("1-" &amp; Table2[[#This Row],[Month]] &amp; "-2024"))</f>
        <v>3</v>
      </c>
      <c r="D52" t="str">
        <f t="shared" ca="1" si="1"/>
        <v>Low Risk</v>
      </c>
    </row>
    <row r="53" spans="1:4" x14ac:dyDescent="0.35">
      <c r="A53" t="s">
        <v>84</v>
      </c>
      <c r="B53">
        <f t="shared" ca="1" si="2"/>
        <v>42</v>
      </c>
      <c r="C53">
        <f>MONTH(DATEVALUE("1-" &amp; Table2[[#This Row],[Month]] &amp; "-2024"))</f>
        <v>4</v>
      </c>
      <c r="D53" t="str">
        <f t="shared" ca="1" si="1"/>
        <v>Low Risk</v>
      </c>
    </row>
    <row r="54" spans="1:4" x14ac:dyDescent="0.35">
      <c r="A54" t="s">
        <v>86</v>
      </c>
      <c r="B54">
        <f t="shared" ca="1" si="2"/>
        <v>24</v>
      </c>
      <c r="C54">
        <f>MONTH(DATEVALUE("1-" &amp; Table2[[#This Row],[Month]] &amp; "-2024"))</f>
        <v>5</v>
      </c>
      <c r="D54" t="str">
        <f t="shared" ca="1" si="1"/>
        <v>Low Risk</v>
      </c>
    </row>
    <row r="55" spans="1:4" x14ac:dyDescent="0.35">
      <c r="A55" t="s">
        <v>88</v>
      </c>
      <c r="B55">
        <f t="shared" ca="1" si="2"/>
        <v>24</v>
      </c>
      <c r="C55">
        <f>MONTH(DATEVALUE("1-" &amp; Table2[[#This Row],[Month]] &amp; "-2024"))</f>
        <v>6</v>
      </c>
      <c r="D55" t="str">
        <f t="shared" ca="1" si="1"/>
        <v>Low Risk</v>
      </c>
    </row>
    <row r="56" spans="1:4" x14ac:dyDescent="0.35">
      <c r="A56" t="s">
        <v>90</v>
      </c>
      <c r="B56">
        <f t="shared" ca="1" si="2"/>
        <v>4</v>
      </c>
      <c r="C56">
        <f>MONTH(DATEVALUE("1-" &amp; Table2[[#This Row],[Month]] &amp; "-2024"))</f>
        <v>7</v>
      </c>
      <c r="D56" t="str">
        <f t="shared" ca="1" si="1"/>
        <v>Medium Risk</v>
      </c>
    </row>
    <row r="57" spans="1:4" x14ac:dyDescent="0.35">
      <c r="A57" t="s">
        <v>92</v>
      </c>
      <c r="B57">
        <f t="shared" ca="1" si="2"/>
        <v>24</v>
      </c>
      <c r="C57">
        <f>MONTH(DATEVALUE("1-" &amp; Table2[[#This Row],[Month]] &amp; "-2024"))</f>
        <v>8</v>
      </c>
      <c r="D57" t="str">
        <f t="shared" ca="1" si="1"/>
        <v>Low Risk</v>
      </c>
    </row>
    <row r="58" spans="1:4" x14ac:dyDescent="0.35">
      <c r="A58" t="s">
        <v>94</v>
      </c>
      <c r="B58">
        <f t="shared" ca="1" si="2"/>
        <v>15</v>
      </c>
      <c r="C58">
        <f>MONTH(DATEVALUE("1-" &amp; Table2[[#This Row],[Month]] &amp; "-2024"))</f>
        <v>9</v>
      </c>
      <c r="D58" t="str">
        <f t="shared" ca="1" si="1"/>
        <v>Low Risk</v>
      </c>
    </row>
    <row r="59" spans="1:4" x14ac:dyDescent="0.35">
      <c r="A59" t="s">
        <v>96</v>
      </c>
      <c r="B59">
        <f t="shared" ca="1" si="2"/>
        <v>5</v>
      </c>
      <c r="C59">
        <f>MONTH(DATEVALUE("1-" &amp; Table2[[#This Row],[Month]] &amp; "-2024"))</f>
        <v>10</v>
      </c>
      <c r="D59" t="str">
        <f t="shared" ca="1" si="1"/>
        <v>Medium Risk</v>
      </c>
    </row>
    <row r="60" spans="1:4" x14ac:dyDescent="0.35">
      <c r="A60" t="s">
        <v>98</v>
      </c>
      <c r="B60">
        <f t="shared" ca="1" si="2"/>
        <v>46</v>
      </c>
      <c r="C60">
        <f>MONTH(DATEVALUE("1-" &amp; Table2[[#This Row],[Month]] &amp; "-2024"))</f>
        <v>11</v>
      </c>
      <c r="D60" t="str">
        <f t="shared" ca="1" si="1"/>
        <v>Low Risk</v>
      </c>
    </row>
    <row r="61" spans="1:4" x14ac:dyDescent="0.35">
      <c r="A61" t="s">
        <v>100</v>
      </c>
      <c r="B61">
        <f t="shared" ca="1" si="2"/>
        <v>38</v>
      </c>
      <c r="C61">
        <f>MONTH(DATEVALUE("1-" &amp; Table2[[#This Row],[Month]] &amp; "-2024"))</f>
        <v>12</v>
      </c>
      <c r="D61" t="str">
        <f t="shared" ca="1" si="1"/>
        <v>Low Risk</v>
      </c>
    </row>
    <row r="62" spans="1:4" x14ac:dyDescent="0.35">
      <c r="A62" t="s">
        <v>7</v>
      </c>
      <c r="B62">
        <f t="shared" ca="1" si="2"/>
        <v>40</v>
      </c>
      <c r="C62">
        <f>MONTH(DATEVALUE("1-" &amp; Table2[[#This Row],[Month]] &amp; "-2024"))</f>
        <v>1</v>
      </c>
      <c r="D62" t="str">
        <f t="shared" ca="1" si="1"/>
        <v>Low Risk</v>
      </c>
    </row>
    <row r="63" spans="1:4" x14ac:dyDescent="0.35">
      <c r="A63" t="s">
        <v>14</v>
      </c>
      <c r="B63">
        <f t="shared" ca="1" si="2"/>
        <v>48</v>
      </c>
      <c r="C63">
        <f>MONTH(DATEVALUE("1-" &amp; Table2[[#This Row],[Month]] &amp; "-2024"))</f>
        <v>2</v>
      </c>
      <c r="D63" t="str">
        <f t="shared" ca="1" si="1"/>
        <v>Low Risk</v>
      </c>
    </row>
    <row r="64" spans="1:4" x14ac:dyDescent="0.35">
      <c r="A64" t="s">
        <v>21</v>
      </c>
      <c r="B64">
        <f t="shared" ca="1" si="2"/>
        <v>7</v>
      </c>
      <c r="C64">
        <f>MONTH(DATEVALUE("1-" &amp; Table2[[#This Row],[Month]] &amp; "-2024"))</f>
        <v>3</v>
      </c>
      <c r="D64" t="str">
        <f t="shared" ca="1" si="1"/>
        <v>Medium Risk</v>
      </c>
    </row>
    <row r="65" spans="1:4" x14ac:dyDescent="0.35">
      <c r="A65" t="s">
        <v>24</v>
      </c>
      <c r="B65">
        <f t="shared" ca="1" si="2"/>
        <v>11</v>
      </c>
      <c r="C65">
        <f>MONTH(DATEVALUE("1-" &amp; Table2[[#This Row],[Month]] &amp; "-2024"))</f>
        <v>4</v>
      </c>
      <c r="D65" t="str">
        <f t="shared" ca="1" si="1"/>
        <v>Low Risk</v>
      </c>
    </row>
    <row r="66" spans="1:4" x14ac:dyDescent="0.35">
      <c r="A66" t="s">
        <v>28</v>
      </c>
      <c r="B66">
        <f t="shared" ref="B66:B97" ca="1" si="3">RANDBETWEEN(2,50)</f>
        <v>20</v>
      </c>
      <c r="C66">
        <f>MONTH(DATEVALUE("1-" &amp; Table2[[#This Row],[Month]] &amp; "-2024"))</f>
        <v>5</v>
      </c>
      <c r="D66" t="str">
        <f t="shared" ca="1" si="1"/>
        <v>Low Risk</v>
      </c>
    </row>
    <row r="67" spans="1:4" x14ac:dyDescent="0.35">
      <c r="A67" t="s">
        <v>33</v>
      </c>
      <c r="B67">
        <f t="shared" ca="1" si="3"/>
        <v>25</v>
      </c>
      <c r="C67">
        <f>MONTH(DATEVALUE("1-" &amp; Table2[[#This Row],[Month]] &amp; "-2024"))</f>
        <v>6</v>
      </c>
      <c r="D67" t="str">
        <f t="shared" ref="D67:D130" ca="1" si="4">IF(AND(B67&lt;5,C67=0),"High Risk",IF(B67&lt;10,"Medium Risk","Low Risk"))</f>
        <v>Low Risk</v>
      </c>
    </row>
    <row r="68" spans="1:4" x14ac:dyDescent="0.35">
      <c r="A68" t="s">
        <v>38</v>
      </c>
      <c r="B68">
        <f t="shared" ca="1" si="3"/>
        <v>42</v>
      </c>
      <c r="C68">
        <f>MONTH(DATEVALUE("1-" &amp; Table2[[#This Row],[Month]] &amp; "-2024"))</f>
        <v>7</v>
      </c>
      <c r="D68" t="str">
        <f t="shared" ca="1" si="4"/>
        <v>Low Risk</v>
      </c>
    </row>
    <row r="69" spans="1:4" x14ac:dyDescent="0.35">
      <c r="A69" t="s">
        <v>42</v>
      </c>
      <c r="B69">
        <f t="shared" ca="1" si="3"/>
        <v>36</v>
      </c>
      <c r="C69">
        <f>MONTH(DATEVALUE("1-" &amp; Table2[[#This Row],[Month]] &amp; "-2024"))</f>
        <v>8</v>
      </c>
      <c r="D69" t="str">
        <f t="shared" ca="1" si="4"/>
        <v>Low Risk</v>
      </c>
    </row>
    <row r="70" spans="1:4" x14ac:dyDescent="0.35">
      <c r="A70" t="s">
        <v>45</v>
      </c>
      <c r="B70">
        <f t="shared" ca="1" si="3"/>
        <v>48</v>
      </c>
      <c r="C70">
        <f>MONTH(DATEVALUE("1-" &amp; Table2[[#This Row],[Month]] &amp; "-2024"))</f>
        <v>9</v>
      </c>
      <c r="D70" t="str">
        <f t="shared" ca="1" si="4"/>
        <v>Low Risk</v>
      </c>
    </row>
    <row r="71" spans="1:4" x14ac:dyDescent="0.35">
      <c r="A71" t="s">
        <v>49</v>
      </c>
      <c r="B71">
        <f t="shared" ca="1" si="3"/>
        <v>5</v>
      </c>
      <c r="C71">
        <f>MONTH(DATEVALUE("1-" &amp; Table2[[#This Row],[Month]] &amp; "-2024"))</f>
        <v>10</v>
      </c>
      <c r="D71" t="str">
        <f t="shared" ca="1" si="4"/>
        <v>Medium Risk</v>
      </c>
    </row>
    <row r="72" spans="1:4" x14ac:dyDescent="0.35">
      <c r="A72" t="s">
        <v>52</v>
      </c>
      <c r="B72">
        <f t="shared" ca="1" si="3"/>
        <v>42</v>
      </c>
      <c r="C72">
        <f>MONTH(DATEVALUE("1-" &amp; Table2[[#This Row],[Month]] &amp; "-2024"))</f>
        <v>11</v>
      </c>
      <c r="D72" t="str">
        <f t="shared" ca="1" si="4"/>
        <v>Low Risk</v>
      </c>
    </row>
    <row r="73" spans="1:4" x14ac:dyDescent="0.35">
      <c r="A73" t="s">
        <v>54</v>
      </c>
      <c r="B73">
        <f t="shared" ca="1" si="3"/>
        <v>31</v>
      </c>
      <c r="C73">
        <f>MONTH(DATEVALUE("1-" &amp; Table2[[#This Row],[Month]] &amp; "-2024"))</f>
        <v>12</v>
      </c>
      <c r="D73" t="str">
        <f t="shared" ca="1" si="4"/>
        <v>Low Risk</v>
      </c>
    </row>
    <row r="74" spans="1:4" x14ac:dyDescent="0.35">
      <c r="A74" t="s">
        <v>57</v>
      </c>
      <c r="B74">
        <f t="shared" ca="1" si="3"/>
        <v>37</v>
      </c>
      <c r="C74">
        <f>MONTH(DATEVALUE("1-" &amp; Table2[[#This Row],[Month]] &amp; "-2024"))</f>
        <v>1</v>
      </c>
      <c r="D74" t="str">
        <f t="shared" ca="1" si="4"/>
        <v>Low Risk</v>
      </c>
    </row>
    <row r="75" spans="1:4" x14ac:dyDescent="0.35">
      <c r="A75" t="s">
        <v>60</v>
      </c>
      <c r="B75">
        <f t="shared" ca="1" si="3"/>
        <v>13</v>
      </c>
      <c r="C75">
        <f>MONTH(DATEVALUE("1-" &amp; Table2[[#This Row],[Month]] &amp; "-2024"))</f>
        <v>2</v>
      </c>
      <c r="D75" t="str">
        <f t="shared" ca="1" si="4"/>
        <v>Low Risk</v>
      </c>
    </row>
    <row r="76" spans="1:4" x14ac:dyDescent="0.35">
      <c r="A76" t="s">
        <v>64</v>
      </c>
      <c r="B76">
        <f t="shared" ca="1" si="3"/>
        <v>37</v>
      </c>
      <c r="C76">
        <f>MONTH(DATEVALUE("1-" &amp; Table2[[#This Row],[Month]] &amp; "-2024"))</f>
        <v>3</v>
      </c>
      <c r="D76" t="str">
        <f t="shared" ca="1" si="4"/>
        <v>Low Risk</v>
      </c>
    </row>
    <row r="77" spans="1:4" x14ac:dyDescent="0.35">
      <c r="A77" t="s">
        <v>67</v>
      </c>
      <c r="B77">
        <f t="shared" ca="1" si="3"/>
        <v>20</v>
      </c>
      <c r="C77">
        <f>MONTH(DATEVALUE("1-" &amp; Table2[[#This Row],[Month]] &amp; "-2024"))</f>
        <v>4</v>
      </c>
      <c r="D77" t="str">
        <f t="shared" ca="1" si="4"/>
        <v>Low Risk</v>
      </c>
    </row>
    <row r="78" spans="1:4" x14ac:dyDescent="0.35">
      <c r="A78" t="s">
        <v>70</v>
      </c>
      <c r="B78">
        <f t="shared" ca="1" si="3"/>
        <v>13</v>
      </c>
      <c r="C78">
        <f>MONTH(DATEVALUE("1-" &amp; Table2[[#This Row],[Month]] &amp; "-2024"))</f>
        <v>5</v>
      </c>
      <c r="D78" t="str">
        <f t="shared" ca="1" si="4"/>
        <v>Low Risk</v>
      </c>
    </row>
    <row r="79" spans="1:4" x14ac:dyDescent="0.35">
      <c r="A79" t="s">
        <v>73</v>
      </c>
      <c r="B79">
        <f t="shared" ca="1" si="3"/>
        <v>22</v>
      </c>
      <c r="C79">
        <f>MONTH(DATEVALUE("1-" &amp; Table2[[#This Row],[Month]] &amp; "-2024"))</f>
        <v>6</v>
      </c>
      <c r="D79" t="str">
        <f t="shared" ca="1" si="4"/>
        <v>Low Risk</v>
      </c>
    </row>
    <row r="80" spans="1:4" x14ac:dyDescent="0.35">
      <c r="A80" t="s">
        <v>76</v>
      </c>
      <c r="B80">
        <f t="shared" ca="1" si="3"/>
        <v>33</v>
      </c>
      <c r="C80">
        <f>MONTH(DATEVALUE("1-" &amp; Table2[[#This Row],[Month]] &amp; "-2024"))</f>
        <v>7</v>
      </c>
      <c r="D80" t="str">
        <f t="shared" ca="1" si="4"/>
        <v>Low Risk</v>
      </c>
    </row>
    <row r="81" spans="1:4" x14ac:dyDescent="0.35">
      <c r="A81" t="s">
        <v>79</v>
      </c>
      <c r="B81">
        <f t="shared" ca="1" si="3"/>
        <v>29</v>
      </c>
      <c r="C81">
        <f>MONTH(DATEVALUE("1-" &amp; Table2[[#This Row],[Month]] &amp; "-2024"))</f>
        <v>8</v>
      </c>
      <c r="D81" t="str">
        <f t="shared" ca="1" si="4"/>
        <v>Low Risk</v>
      </c>
    </row>
    <row r="82" spans="1:4" x14ac:dyDescent="0.35">
      <c r="A82" t="s">
        <v>81</v>
      </c>
      <c r="B82">
        <f t="shared" ca="1" si="3"/>
        <v>34</v>
      </c>
      <c r="C82">
        <f>MONTH(DATEVALUE("1-" &amp; Table2[[#This Row],[Month]] &amp; "-2024"))</f>
        <v>9</v>
      </c>
      <c r="D82" t="str">
        <f t="shared" ca="1" si="4"/>
        <v>Low Risk</v>
      </c>
    </row>
    <row r="83" spans="1:4" x14ac:dyDescent="0.35">
      <c r="A83" t="s">
        <v>84</v>
      </c>
      <c r="B83">
        <f t="shared" ca="1" si="3"/>
        <v>14</v>
      </c>
      <c r="C83">
        <f>MONTH(DATEVALUE("1-" &amp; Table2[[#This Row],[Month]] &amp; "-2024"))</f>
        <v>10</v>
      </c>
      <c r="D83" t="str">
        <f t="shared" ca="1" si="4"/>
        <v>Low Risk</v>
      </c>
    </row>
    <row r="84" spans="1:4" x14ac:dyDescent="0.35">
      <c r="A84" t="s">
        <v>86</v>
      </c>
      <c r="B84">
        <f t="shared" ca="1" si="3"/>
        <v>16</v>
      </c>
      <c r="C84">
        <f>MONTH(DATEVALUE("1-" &amp; Table2[[#This Row],[Month]] &amp; "-2024"))</f>
        <v>11</v>
      </c>
      <c r="D84" t="str">
        <f t="shared" ca="1" si="4"/>
        <v>Low Risk</v>
      </c>
    </row>
    <row r="85" spans="1:4" x14ac:dyDescent="0.35">
      <c r="A85" t="s">
        <v>88</v>
      </c>
      <c r="B85">
        <f t="shared" ca="1" si="3"/>
        <v>10</v>
      </c>
      <c r="C85">
        <f>MONTH(DATEVALUE("1-" &amp; Table2[[#This Row],[Month]] &amp; "-2024"))</f>
        <v>12</v>
      </c>
      <c r="D85" t="str">
        <f t="shared" ca="1" si="4"/>
        <v>Low Risk</v>
      </c>
    </row>
    <row r="86" spans="1:4" x14ac:dyDescent="0.35">
      <c r="A86" t="s">
        <v>90</v>
      </c>
      <c r="B86">
        <f t="shared" ca="1" si="3"/>
        <v>23</v>
      </c>
      <c r="C86">
        <f>MONTH(DATEVALUE("1-" &amp; Table2[[#This Row],[Month]] &amp; "-2024"))</f>
        <v>1</v>
      </c>
      <c r="D86" t="str">
        <f t="shared" ca="1" si="4"/>
        <v>Low Risk</v>
      </c>
    </row>
    <row r="87" spans="1:4" x14ac:dyDescent="0.35">
      <c r="A87" t="s">
        <v>92</v>
      </c>
      <c r="B87">
        <f t="shared" ca="1" si="3"/>
        <v>10</v>
      </c>
      <c r="C87">
        <f>MONTH(DATEVALUE("1-" &amp; Table2[[#This Row],[Month]] &amp; "-2024"))</f>
        <v>2</v>
      </c>
      <c r="D87" t="str">
        <f t="shared" ca="1" si="4"/>
        <v>Low Risk</v>
      </c>
    </row>
    <row r="88" spans="1:4" x14ac:dyDescent="0.35">
      <c r="A88" t="s">
        <v>94</v>
      </c>
      <c r="B88">
        <f t="shared" ca="1" si="3"/>
        <v>50</v>
      </c>
      <c r="C88">
        <f>MONTH(DATEVALUE("1-" &amp; Table2[[#This Row],[Month]] &amp; "-2024"))</f>
        <v>3</v>
      </c>
      <c r="D88" t="str">
        <f t="shared" ca="1" si="4"/>
        <v>Low Risk</v>
      </c>
    </row>
    <row r="89" spans="1:4" x14ac:dyDescent="0.35">
      <c r="A89" t="s">
        <v>96</v>
      </c>
      <c r="B89">
        <f t="shared" ca="1" si="3"/>
        <v>25</v>
      </c>
      <c r="C89">
        <f>MONTH(DATEVALUE("1-" &amp; Table2[[#This Row],[Month]] &amp; "-2024"))</f>
        <v>4</v>
      </c>
      <c r="D89" t="str">
        <f t="shared" ca="1" si="4"/>
        <v>Low Risk</v>
      </c>
    </row>
    <row r="90" spans="1:4" x14ac:dyDescent="0.35">
      <c r="A90" t="s">
        <v>98</v>
      </c>
      <c r="B90">
        <f t="shared" ca="1" si="3"/>
        <v>36</v>
      </c>
      <c r="C90">
        <f>MONTH(DATEVALUE("1-" &amp; Table2[[#This Row],[Month]] &amp; "-2024"))</f>
        <v>5</v>
      </c>
      <c r="D90" t="str">
        <f t="shared" ca="1" si="4"/>
        <v>Low Risk</v>
      </c>
    </row>
    <row r="91" spans="1:4" x14ac:dyDescent="0.35">
      <c r="A91" t="s">
        <v>100</v>
      </c>
      <c r="B91">
        <f t="shared" ca="1" si="3"/>
        <v>30</v>
      </c>
      <c r="C91">
        <f>MONTH(DATEVALUE("1-" &amp; Table2[[#This Row],[Month]] &amp; "-2024"))</f>
        <v>6</v>
      </c>
      <c r="D91" t="str">
        <f t="shared" ca="1" si="4"/>
        <v>Low Risk</v>
      </c>
    </row>
    <row r="92" spans="1:4" x14ac:dyDescent="0.35">
      <c r="A92" t="s">
        <v>7</v>
      </c>
      <c r="B92">
        <f t="shared" ca="1" si="3"/>
        <v>19</v>
      </c>
      <c r="C92">
        <f>MONTH(DATEVALUE("1-" &amp; Table2[[#This Row],[Month]] &amp; "-2024"))</f>
        <v>7</v>
      </c>
      <c r="D92" t="str">
        <f t="shared" ca="1" si="4"/>
        <v>Low Risk</v>
      </c>
    </row>
    <row r="93" spans="1:4" x14ac:dyDescent="0.35">
      <c r="A93" t="s">
        <v>14</v>
      </c>
      <c r="B93">
        <f t="shared" ca="1" si="3"/>
        <v>45</v>
      </c>
      <c r="C93">
        <f>MONTH(DATEVALUE("1-" &amp; Table2[[#This Row],[Month]] &amp; "-2024"))</f>
        <v>8</v>
      </c>
      <c r="D93" t="str">
        <f t="shared" ca="1" si="4"/>
        <v>Low Risk</v>
      </c>
    </row>
    <row r="94" spans="1:4" x14ac:dyDescent="0.35">
      <c r="A94" t="s">
        <v>21</v>
      </c>
      <c r="B94">
        <f t="shared" ca="1" si="3"/>
        <v>49</v>
      </c>
      <c r="C94">
        <f>MONTH(DATEVALUE("1-" &amp; Table2[[#This Row],[Month]] &amp; "-2024"))</f>
        <v>9</v>
      </c>
      <c r="D94" t="str">
        <f t="shared" ca="1" si="4"/>
        <v>Low Risk</v>
      </c>
    </row>
    <row r="95" spans="1:4" x14ac:dyDescent="0.35">
      <c r="A95" t="s">
        <v>24</v>
      </c>
      <c r="B95">
        <f t="shared" ca="1" si="3"/>
        <v>15</v>
      </c>
      <c r="C95">
        <f>MONTH(DATEVALUE("1-" &amp; Table2[[#This Row],[Month]] &amp; "-2024"))</f>
        <v>10</v>
      </c>
      <c r="D95" t="str">
        <f t="shared" ca="1" si="4"/>
        <v>Low Risk</v>
      </c>
    </row>
    <row r="96" spans="1:4" x14ac:dyDescent="0.35">
      <c r="A96" t="s">
        <v>28</v>
      </c>
      <c r="B96">
        <f t="shared" ca="1" si="3"/>
        <v>28</v>
      </c>
      <c r="C96">
        <f>MONTH(DATEVALUE("1-" &amp; Table2[[#This Row],[Month]] &amp; "-2024"))</f>
        <v>11</v>
      </c>
      <c r="D96" t="str">
        <f t="shared" ca="1" si="4"/>
        <v>Low Risk</v>
      </c>
    </row>
    <row r="97" spans="1:4" x14ac:dyDescent="0.35">
      <c r="A97" t="s">
        <v>33</v>
      </c>
      <c r="B97">
        <f t="shared" ca="1" si="3"/>
        <v>6</v>
      </c>
      <c r="C97">
        <f>MONTH(DATEVALUE("1-" &amp; Table2[[#This Row],[Month]] &amp; "-2024"))</f>
        <v>12</v>
      </c>
      <c r="D97" t="str">
        <f t="shared" ca="1" si="4"/>
        <v>Medium Risk</v>
      </c>
    </row>
    <row r="98" spans="1:4" x14ac:dyDescent="0.35">
      <c r="A98" t="s">
        <v>38</v>
      </c>
      <c r="B98">
        <f t="shared" ref="B98:B131" ca="1" si="5">RANDBETWEEN(2,50)</f>
        <v>25</v>
      </c>
      <c r="C98">
        <f>MONTH(DATEVALUE("1-" &amp; Table2[[#This Row],[Month]] &amp; "-2024"))</f>
        <v>1</v>
      </c>
      <c r="D98" t="str">
        <f t="shared" ca="1" si="4"/>
        <v>Low Risk</v>
      </c>
    </row>
    <row r="99" spans="1:4" x14ac:dyDescent="0.35">
      <c r="A99" t="s">
        <v>42</v>
      </c>
      <c r="B99">
        <f t="shared" ca="1" si="5"/>
        <v>39</v>
      </c>
      <c r="C99">
        <f>MONTH(DATEVALUE("1-" &amp; Table2[[#This Row],[Month]] &amp; "-2024"))</f>
        <v>2</v>
      </c>
      <c r="D99" t="str">
        <f t="shared" ca="1" si="4"/>
        <v>Low Risk</v>
      </c>
    </row>
    <row r="100" spans="1:4" x14ac:dyDescent="0.35">
      <c r="A100" t="s">
        <v>45</v>
      </c>
      <c r="B100">
        <f t="shared" ca="1" si="5"/>
        <v>47</v>
      </c>
      <c r="C100">
        <f>MONTH(DATEVALUE("1-" &amp; Table2[[#This Row],[Month]] &amp; "-2024"))</f>
        <v>3</v>
      </c>
      <c r="D100" t="str">
        <f t="shared" ca="1" si="4"/>
        <v>Low Risk</v>
      </c>
    </row>
    <row r="101" spans="1:4" x14ac:dyDescent="0.35">
      <c r="A101" t="s">
        <v>49</v>
      </c>
      <c r="B101">
        <f t="shared" ca="1" si="5"/>
        <v>29</v>
      </c>
      <c r="C101">
        <f>MONTH(DATEVALUE("1-" &amp; Table2[[#This Row],[Month]] &amp; "-2024"))</f>
        <v>4</v>
      </c>
      <c r="D101" t="str">
        <f t="shared" ca="1" si="4"/>
        <v>Low Risk</v>
      </c>
    </row>
    <row r="102" spans="1:4" x14ac:dyDescent="0.35">
      <c r="A102" t="s">
        <v>52</v>
      </c>
      <c r="B102">
        <f t="shared" ca="1" si="5"/>
        <v>23</v>
      </c>
      <c r="C102">
        <f>MONTH(DATEVALUE("1-" &amp; Table2[[#This Row],[Month]] &amp; "-2024"))</f>
        <v>5</v>
      </c>
      <c r="D102" t="str">
        <f t="shared" ca="1" si="4"/>
        <v>Low Risk</v>
      </c>
    </row>
    <row r="103" spans="1:4" x14ac:dyDescent="0.35">
      <c r="A103" t="s">
        <v>54</v>
      </c>
      <c r="B103">
        <f t="shared" ca="1" si="5"/>
        <v>19</v>
      </c>
      <c r="C103">
        <f>MONTH(DATEVALUE("1-" &amp; Table2[[#This Row],[Month]] &amp; "-2024"))</f>
        <v>6</v>
      </c>
      <c r="D103" t="str">
        <f t="shared" ca="1" si="4"/>
        <v>Low Risk</v>
      </c>
    </row>
    <row r="104" spans="1:4" x14ac:dyDescent="0.35">
      <c r="A104" t="s">
        <v>57</v>
      </c>
      <c r="B104">
        <f t="shared" ca="1" si="5"/>
        <v>38</v>
      </c>
      <c r="C104">
        <f>MONTH(DATEVALUE("1-" &amp; Table2[[#This Row],[Month]] &amp; "-2024"))</f>
        <v>7</v>
      </c>
      <c r="D104" t="str">
        <f t="shared" ca="1" si="4"/>
        <v>Low Risk</v>
      </c>
    </row>
    <row r="105" spans="1:4" x14ac:dyDescent="0.35">
      <c r="A105" t="s">
        <v>60</v>
      </c>
      <c r="B105">
        <f t="shared" ca="1" si="5"/>
        <v>41</v>
      </c>
      <c r="C105">
        <f>MONTH(DATEVALUE("1-" &amp; Table2[[#This Row],[Month]] &amp; "-2024"))</f>
        <v>8</v>
      </c>
      <c r="D105" t="str">
        <f t="shared" ca="1" si="4"/>
        <v>Low Risk</v>
      </c>
    </row>
    <row r="106" spans="1:4" x14ac:dyDescent="0.35">
      <c r="A106" t="s">
        <v>64</v>
      </c>
      <c r="B106">
        <f t="shared" ca="1" si="5"/>
        <v>22</v>
      </c>
      <c r="C106">
        <f>MONTH(DATEVALUE("1-" &amp; Table2[[#This Row],[Month]] &amp; "-2024"))</f>
        <v>9</v>
      </c>
      <c r="D106" t="str">
        <f t="shared" ca="1" si="4"/>
        <v>Low Risk</v>
      </c>
    </row>
    <row r="107" spans="1:4" x14ac:dyDescent="0.35">
      <c r="A107" t="s">
        <v>67</v>
      </c>
      <c r="B107">
        <f t="shared" ca="1" si="5"/>
        <v>10</v>
      </c>
      <c r="C107">
        <f>MONTH(DATEVALUE("1-" &amp; Table2[[#This Row],[Month]] &amp; "-2024"))</f>
        <v>10</v>
      </c>
      <c r="D107" t="str">
        <f t="shared" ca="1" si="4"/>
        <v>Low Risk</v>
      </c>
    </row>
    <row r="108" spans="1:4" x14ac:dyDescent="0.35">
      <c r="A108" t="s">
        <v>70</v>
      </c>
      <c r="B108">
        <f t="shared" ca="1" si="5"/>
        <v>35</v>
      </c>
      <c r="C108">
        <f>MONTH(DATEVALUE("1-" &amp; Table2[[#This Row],[Month]] &amp; "-2024"))</f>
        <v>11</v>
      </c>
      <c r="D108" t="str">
        <f t="shared" ca="1" si="4"/>
        <v>Low Risk</v>
      </c>
    </row>
    <row r="109" spans="1:4" x14ac:dyDescent="0.35">
      <c r="A109" t="s">
        <v>73</v>
      </c>
      <c r="B109">
        <f t="shared" ca="1" si="5"/>
        <v>24</v>
      </c>
      <c r="C109">
        <f>MONTH(DATEVALUE("1-" &amp; Table2[[#This Row],[Month]] &amp; "-2024"))</f>
        <v>12</v>
      </c>
      <c r="D109" t="str">
        <f t="shared" ca="1" si="4"/>
        <v>Low Risk</v>
      </c>
    </row>
    <row r="110" spans="1:4" x14ac:dyDescent="0.35">
      <c r="A110" t="s">
        <v>76</v>
      </c>
      <c r="B110">
        <f t="shared" ca="1" si="5"/>
        <v>28</v>
      </c>
      <c r="C110">
        <f>MONTH(DATEVALUE("1-" &amp; Table2[[#This Row],[Month]] &amp; "-2024"))</f>
        <v>1</v>
      </c>
      <c r="D110" t="str">
        <f t="shared" ca="1" si="4"/>
        <v>Low Risk</v>
      </c>
    </row>
    <row r="111" spans="1:4" x14ac:dyDescent="0.35">
      <c r="A111" t="s">
        <v>79</v>
      </c>
      <c r="B111">
        <f t="shared" ca="1" si="5"/>
        <v>36</v>
      </c>
      <c r="C111">
        <f>MONTH(DATEVALUE("1-" &amp; Table2[[#This Row],[Month]] &amp; "-2024"))</f>
        <v>2</v>
      </c>
      <c r="D111" t="str">
        <f t="shared" ca="1" si="4"/>
        <v>Low Risk</v>
      </c>
    </row>
    <row r="112" spans="1:4" x14ac:dyDescent="0.35">
      <c r="A112" t="s">
        <v>81</v>
      </c>
      <c r="B112">
        <f t="shared" ca="1" si="5"/>
        <v>18</v>
      </c>
      <c r="C112">
        <f>MONTH(DATEVALUE("1-" &amp; Table2[[#This Row],[Month]] &amp; "-2024"))</f>
        <v>3</v>
      </c>
      <c r="D112" t="str">
        <f t="shared" ca="1" si="4"/>
        <v>Low Risk</v>
      </c>
    </row>
    <row r="113" spans="1:4" x14ac:dyDescent="0.35">
      <c r="A113" t="s">
        <v>84</v>
      </c>
      <c r="B113">
        <f t="shared" ca="1" si="5"/>
        <v>7</v>
      </c>
      <c r="C113">
        <f>MONTH(DATEVALUE("1-" &amp; Table2[[#This Row],[Month]] &amp; "-2024"))</f>
        <v>4</v>
      </c>
      <c r="D113" t="str">
        <f t="shared" ca="1" si="4"/>
        <v>Medium Risk</v>
      </c>
    </row>
    <row r="114" spans="1:4" x14ac:dyDescent="0.35">
      <c r="A114" t="s">
        <v>86</v>
      </c>
      <c r="B114">
        <f t="shared" ca="1" si="5"/>
        <v>3</v>
      </c>
      <c r="C114">
        <f>MONTH(DATEVALUE("1-" &amp; Table2[[#This Row],[Month]] &amp; "-2024"))</f>
        <v>5</v>
      </c>
      <c r="D114" t="str">
        <f t="shared" ca="1" si="4"/>
        <v>Medium Risk</v>
      </c>
    </row>
    <row r="115" spans="1:4" x14ac:dyDescent="0.35">
      <c r="A115" t="s">
        <v>88</v>
      </c>
      <c r="B115">
        <f t="shared" ca="1" si="5"/>
        <v>9</v>
      </c>
      <c r="C115">
        <f>MONTH(DATEVALUE("1-" &amp; Table2[[#This Row],[Month]] &amp; "-2024"))</f>
        <v>6</v>
      </c>
      <c r="D115" t="str">
        <f t="shared" ca="1" si="4"/>
        <v>Medium Risk</v>
      </c>
    </row>
    <row r="116" spans="1:4" x14ac:dyDescent="0.35">
      <c r="A116" t="s">
        <v>90</v>
      </c>
      <c r="B116">
        <f t="shared" ca="1" si="5"/>
        <v>20</v>
      </c>
      <c r="C116">
        <f>MONTH(DATEVALUE("1-" &amp; Table2[[#This Row],[Month]] &amp; "-2024"))</f>
        <v>7</v>
      </c>
      <c r="D116" t="str">
        <f t="shared" ca="1" si="4"/>
        <v>Low Risk</v>
      </c>
    </row>
    <row r="117" spans="1:4" x14ac:dyDescent="0.35">
      <c r="A117" t="s">
        <v>92</v>
      </c>
      <c r="B117">
        <f t="shared" ca="1" si="5"/>
        <v>50</v>
      </c>
      <c r="C117">
        <f>MONTH(DATEVALUE("1-" &amp; Table2[[#This Row],[Month]] &amp; "-2024"))</f>
        <v>8</v>
      </c>
      <c r="D117" t="str">
        <f t="shared" ca="1" si="4"/>
        <v>Low Risk</v>
      </c>
    </row>
    <row r="118" spans="1:4" x14ac:dyDescent="0.35">
      <c r="A118" t="s">
        <v>94</v>
      </c>
      <c r="B118">
        <f t="shared" ca="1" si="5"/>
        <v>13</v>
      </c>
      <c r="C118">
        <f>MONTH(DATEVALUE("1-" &amp; Table2[[#This Row],[Month]] &amp; "-2024"))</f>
        <v>9</v>
      </c>
      <c r="D118" t="str">
        <f t="shared" ca="1" si="4"/>
        <v>Low Risk</v>
      </c>
    </row>
    <row r="119" spans="1:4" x14ac:dyDescent="0.35">
      <c r="A119" t="s">
        <v>96</v>
      </c>
      <c r="B119">
        <f t="shared" ca="1" si="5"/>
        <v>38</v>
      </c>
      <c r="C119">
        <f>MONTH(DATEVALUE("1-" &amp; Table2[[#This Row],[Month]] &amp; "-2024"))</f>
        <v>10</v>
      </c>
      <c r="D119" t="str">
        <f t="shared" ca="1" si="4"/>
        <v>Low Risk</v>
      </c>
    </row>
    <row r="120" spans="1:4" x14ac:dyDescent="0.35">
      <c r="A120" t="s">
        <v>98</v>
      </c>
      <c r="B120">
        <f t="shared" ca="1" si="5"/>
        <v>5</v>
      </c>
      <c r="C120">
        <f>MONTH(DATEVALUE("1-" &amp; Table2[[#This Row],[Month]] &amp; "-2024"))</f>
        <v>11</v>
      </c>
      <c r="D120" t="str">
        <f t="shared" ca="1" si="4"/>
        <v>Medium Risk</v>
      </c>
    </row>
    <row r="121" spans="1:4" x14ac:dyDescent="0.35">
      <c r="A121" t="s">
        <v>100</v>
      </c>
      <c r="B121">
        <f t="shared" ca="1" si="5"/>
        <v>23</v>
      </c>
      <c r="C121">
        <f>MONTH(DATEVALUE("1-" &amp; Table2[[#This Row],[Month]] &amp; "-2024"))</f>
        <v>12</v>
      </c>
      <c r="D121" t="str">
        <f t="shared" ca="1" si="4"/>
        <v>Low Risk</v>
      </c>
    </row>
    <row r="122" spans="1:4" x14ac:dyDescent="0.35">
      <c r="A122" t="s">
        <v>7</v>
      </c>
      <c r="B122">
        <f t="shared" ca="1" si="5"/>
        <v>3</v>
      </c>
      <c r="C122">
        <f>MONTH(DATEVALUE("1-" &amp; Table2[[#This Row],[Month]] &amp; "-2024"))</f>
        <v>1</v>
      </c>
      <c r="D122" t="str">
        <f t="shared" ca="1" si="4"/>
        <v>Medium Risk</v>
      </c>
    </row>
    <row r="123" spans="1:4" x14ac:dyDescent="0.35">
      <c r="A123" t="s">
        <v>14</v>
      </c>
      <c r="B123">
        <f t="shared" ca="1" si="5"/>
        <v>26</v>
      </c>
      <c r="C123">
        <f>MONTH(DATEVALUE("1-" &amp; Table2[[#This Row],[Month]] &amp; "-2024"))</f>
        <v>2</v>
      </c>
      <c r="D123" t="str">
        <f t="shared" ca="1" si="4"/>
        <v>Low Risk</v>
      </c>
    </row>
    <row r="124" spans="1:4" x14ac:dyDescent="0.35">
      <c r="A124" t="s">
        <v>21</v>
      </c>
      <c r="B124">
        <f t="shared" ca="1" si="5"/>
        <v>49</v>
      </c>
      <c r="C124">
        <f>MONTH(DATEVALUE("1-" &amp; Table2[[#This Row],[Month]] &amp; "-2024"))</f>
        <v>3</v>
      </c>
      <c r="D124" t="str">
        <f t="shared" ca="1" si="4"/>
        <v>Low Risk</v>
      </c>
    </row>
    <row r="125" spans="1:4" x14ac:dyDescent="0.35">
      <c r="A125" t="s">
        <v>24</v>
      </c>
      <c r="B125">
        <f t="shared" ca="1" si="5"/>
        <v>14</v>
      </c>
      <c r="C125">
        <f>MONTH(DATEVALUE("1-" &amp; Table2[[#This Row],[Month]] &amp; "-2024"))</f>
        <v>4</v>
      </c>
      <c r="D125" t="str">
        <f t="shared" ca="1" si="4"/>
        <v>Low Risk</v>
      </c>
    </row>
    <row r="126" spans="1:4" x14ac:dyDescent="0.35">
      <c r="A126" t="s">
        <v>28</v>
      </c>
      <c r="B126">
        <f t="shared" ca="1" si="5"/>
        <v>20</v>
      </c>
      <c r="C126">
        <f>MONTH(DATEVALUE("1-" &amp; Table2[[#This Row],[Month]] &amp; "-2024"))</f>
        <v>5</v>
      </c>
      <c r="D126" t="str">
        <f t="shared" ca="1" si="4"/>
        <v>Low Risk</v>
      </c>
    </row>
    <row r="127" spans="1:4" x14ac:dyDescent="0.35">
      <c r="A127" t="s">
        <v>33</v>
      </c>
      <c r="B127">
        <f t="shared" ca="1" si="5"/>
        <v>5</v>
      </c>
      <c r="C127">
        <f>MONTH(DATEVALUE("1-" &amp; Table2[[#This Row],[Month]] &amp; "-2024"))</f>
        <v>6</v>
      </c>
      <c r="D127" t="str">
        <f t="shared" ca="1" si="4"/>
        <v>Medium Risk</v>
      </c>
    </row>
    <row r="128" spans="1:4" x14ac:dyDescent="0.35">
      <c r="A128" t="s">
        <v>38</v>
      </c>
      <c r="B128">
        <f t="shared" ca="1" si="5"/>
        <v>9</v>
      </c>
      <c r="C128">
        <f>MONTH(DATEVALUE("1-" &amp; Table2[[#This Row],[Month]] &amp; "-2024"))</f>
        <v>7</v>
      </c>
      <c r="D128" t="str">
        <f t="shared" ca="1" si="4"/>
        <v>Medium Risk</v>
      </c>
    </row>
    <row r="129" spans="1:4" x14ac:dyDescent="0.35">
      <c r="A129" t="s">
        <v>42</v>
      </c>
      <c r="B129">
        <f t="shared" ca="1" si="5"/>
        <v>7</v>
      </c>
      <c r="C129">
        <f>MONTH(DATEVALUE("1-" &amp; Table2[[#This Row],[Month]] &amp; "-2024"))</f>
        <v>8</v>
      </c>
      <c r="D129" t="str">
        <f t="shared" ca="1" si="4"/>
        <v>Medium Risk</v>
      </c>
    </row>
    <row r="130" spans="1:4" x14ac:dyDescent="0.35">
      <c r="A130" t="s">
        <v>45</v>
      </c>
      <c r="B130">
        <f t="shared" ca="1" si="5"/>
        <v>14</v>
      </c>
      <c r="C130">
        <f>MONTH(DATEVALUE("1-" &amp; Table2[[#This Row],[Month]] &amp; "-2024"))</f>
        <v>9</v>
      </c>
      <c r="D130" t="str">
        <f t="shared" ca="1" si="4"/>
        <v>Low Risk</v>
      </c>
    </row>
    <row r="131" spans="1:4" x14ac:dyDescent="0.35">
      <c r="A131" t="s">
        <v>49</v>
      </c>
      <c r="B131">
        <f t="shared" ca="1" si="5"/>
        <v>48</v>
      </c>
      <c r="C131">
        <f>MONTH(DATEVALUE("1-" &amp; Table2[[#This Row],[Month]] &amp; "-2024"))</f>
        <v>10</v>
      </c>
      <c r="D131" t="str">
        <f t="shared" ref="D131" ca="1" si="6">IF(AND(B131&lt;5,C131=0),"High Risk",IF(B131&lt;10,"Medium Risk","Low Risk"))</f>
        <v>Low Risk</v>
      </c>
    </row>
  </sheetData>
  <conditionalFormatting sqref="D1:D1048576">
    <cfRule type="containsText" dxfId="8" priority="1" operator="containsText" text="High Risk">
      <formula>NOT(ISERROR(SEARCH("High Risk",D1)))</formula>
    </cfRule>
    <cfRule type="containsText" dxfId="7" priority="2" operator="containsText" text="Low Risk">
      <formula>NOT(ISERROR(SEARCH("Low Risk",D1)))</formula>
    </cfRule>
    <cfRule type="containsText" dxfId="6" priority="3" operator="containsText" text="Medium Risk">
      <formula>NOT(ISERROR(SEARCH("Medium Risk",D1)))</formula>
    </cfRule>
  </conditionalFormatting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6F06-638C-42BE-862D-7E6FE554F76C}">
  <dimension ref="A2:U55"/>
  <sheetViews>
    <sheetView zoomScale="58" workbookViewId="0">
      <selection activeCell="C8" sqref="C8"/>
    </sheetView>
  </sheetViews>
  <sheetFormatPr defaultRowHeight="14.5" x14ac:dyDescent="0.35"/>
  <cols>
    <col min="1" max="1" width="12.453125" bestFit="1" customWidth="1"/>
    <col min="2" max="2" width="12.6328125" style="18" bestFit="1" customWidth="1"/>
    <col min="4" max="4" width="16.26953125" bestFit="1" customWidth="1"/>
    <col min="5" max="5" width="11.36328125" customWidth="1"/>
    <col min="6" max="6" width="15.6328125" customWidth="1"/>
    <col min="7" max="7" width="12.453125" bestFit="1" customWidth="1"/>
    <col min="8" max="8" width="14.90625" bestFit="1" customWidth="1"/>
    <col min="10" max="10" width="12.453125" bestFit="1" customWidth="1"/>
    <col min="11" max="11" width="14.90625" bestFit="1" customWidth="1"/>
    <col min="12" max="12" width="8.81640625" bestFit="1" customWidth="1"/>
    <col min="13" max="13" width="10.453125" customWidth="1"/>
  </cols>
  <sheetData>
    <row r="2" spans="1:21" x14ac:dyDescent="0.35">
      <c r="A2" s="16" t="s">
        <v>0</v>
      </c>
      <c r="B2" s="18" t="s">
        <v>360</v>
      </c>
      <c r="C2" t="s">
        <v>362</v>
      </c>
      <c r="D2" t="s">
        <v>360</v>
      </c>
      <c r="E2">
        <f>PERCENTILE(B3:B32,0.5)</f>
        <v>152424.5</v>
      </c>
      <c r="G2" s="11" t="s">
        <v>334</v>
      </c>
      <c r="H2" t="s">
        <v>353</v>
      </c>
      <c r="J2" s="2" t="s">
        <v>367</v>
      </c>
    </row>
    <row r="3" spans="1:21" x14ac:dyDescent="0.35">
      <c r="A3" s="12" t="s">
        <v>7</v>
      </c>
      <c r="B3" s="18">
        <v>93402</v>
      </c>
      <c r="C3" t="str">
        <f>IF(B3&gt;=$E$3,"star",IF(B3&gt;=$E$2,"average","low"))</f>
        <v>low</v>
      </c>
      <c r="D3" t="s">
        <v>361</v>
      </c>
      <c r="E3">
        <f>PERCENTILE(B3:B32,0.9)</f>
        <v>193090.7</v>
      </c>
      <c r="G3" s="12" t="s">
        <v>363</v>
      </c>
      <c r="H3">
        <v>12</v>
      </c>
      <c r="J3" s="17">
        <f>H3/H6</f>
        <v>0.4</v>
      </c>
      <c r="L3" s="12" t="s">
        <v>375</v>
      </c>
      <c r="M3" t="s">
        <v>376</v>
      </c>
    </row>
    <row r="4" spans="1:21" x14ac:dyDescent="0.35">
      <c r="A4" s="12" t="s">
        <v>14</v>
      </c>
      <c r="B4" s="18">
        <v>192961</v>
      </c>
      <c r="C4" t="str">
        <f t="shared" ref="C4:C32" si="0">IF(B4&gt;=$E$3,"star",IF(B4&gt;=$E$2,"average","low"))</f>
        <v>average</v>
      </c>
      <c r="G4" s="12" t="s">
        <v>364</v>
      </c>
      <c r="H4">
        <v>15</v>
      </c>
      <c r="J4" s="17">
        <f>H4/H6</f>
        <v>0.5</v>
      </c>
      <c r="L4" s="12" t="s">
        <v>363</v>
      </c>
      <c r="M4">
        <v>12</v>
      </c>
    </row>
    <row r="5" spans="1:21" x14ac:dyDescent="0.35">
      <c r="A5" s="12" t="s">
        <v>21</v>
      </c>
      <c r="B5" s="18">
        <v>160145</v>
      </c>
      <c r="C5" t="str">
        <f t="shared" si="0"/>
        <v>average</v>
      </c>
      <c r="G5" s="12" t="s">
        <v>365</v>
      </c>
      <c r="H5">
        <v>3</v>
      </c>
      <c r="J5" s="17">
        <f>H5/H6</f>
        <v>0.1</v>
      </c>
      <c r="L5" s="12" t="s">
        <v>364</v>
      </c>
      <c r="M5">
        <v>15</v>
      </c>
    </row>
    <row r="6" spans="1:21" x14ac:dyDescent="0.35">
      <c r="A6" s="12" t="s">
        <v>24</v>
      </c>
      <c r="B6" s="18">
        <v>132791</v>
      </c>
      <c r="C6" t="str">
        <f t="shared" si="0"/>
        <v>low</v>
      </c>
      <c r="G6" s="12" t="s">
        <v>335</v>
      </c>
      <c r="H6">
        <v>30</v>
      </c>
      <c r="L6" s="12" t="s">
        <v>365</v>
      </c>
      <c r="M6">
        <v>3</v>
      </c>
    </row>
    <row r="7" spans="1:21" x14ac:dyDescent="0.35">
      <c r="A7" s="12" t="s">
        <v>28</v>
      </c>
      <c r="B7" s="18">
        <v>195648</v>
      </c>
      <c r="C7" t="str">
        <f t="shared" si="0"/>
        <v>star</v>
      </c>
      <c r="G7" s="12"/>
    </row>
    <row r="8" spans="1:21" x14ac:dyDescent="0.35">
      <c r="A8" s="12" t="s">
        <v>33</v>
      </c>
      <c r="B8" s="18">
        <v>150672</v>
      </c>
      <c r="C8" t="str">
        <f t="shared" si="0"/>
        <v>low</v>
      </c>
      <c r="G8" s="12"/>
    </row>
    <row r="9" spans="1:21" x14ac:dyDescent="0.35">
      <c r="A9" s="12" t="s">
        <v>38</v>
      </c>
      <c r="B9" s="18">
        <v>214870</v>
      </c>
      <c r="C9" t="str">
        <f t="shared" si="0"/>
        <v>star</v>
      </c>
      <c r="G9" s="12"/>
    </row>
    <row r="10" spans="1:21" x14ac:dyDescent="0.35">
      <c r="A10" s="12" t="s">
        <v>42</v>
      </c>
      <c r="B10" s="18">
        <v>154177</v>
      </c>
      <c r="C10" t="str">
        <f t="shared" si="0"/>
        <v>average</v>
      </c>
      <c r="G10" s="12"/>
    </row>
    <row r="11" spans="1:21" x14ac:dyDescent="0.35">
      <c r="A11" s="12" t="s">
        <v>45</v>
      </c>
      <c r="B11" s="18">
        <v>174166</v>
      </c>
      <c r="C11" t="str">
        <f t="shared" si="0"/>
        <v>average</v>
      </c>
      <c r="G11" s="12"/>
    </row>
    <row r="12" spans="1:21" x14ac:dyDescent="0.35">
      <c r="A12" s="12" t="s">
        <v>49</v>
      </c>
      <c r="B12" s="18">
        <v>127214</v>
      </c>
      <c r="C12" t="str">
        <f t="shared" si="0"/>
        <v>low</v>
      </c>
      <c r="G12" s="12"/>
    </row>
    <row r="13" spans="1:21" ht="21" x14ac:dyDescent="0.5">
      <c r="A13" s="12" t="s">
        <v>52</v>
      </c>
      <c r="B13" s="18">
        <v>105857</v>
      </c>
      <c r="C13" t="str">
        <f t="shared" si="0"/>
        <v>low</v>
      </c>
      <c r="G13" s="12"/>
      <c r="K13" s="26" t="s">
        <v>366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</row>
    <row r="14" spans="1:21" x14ac:dyDescent="0.35">
      <c r="A14" s="12" t="s">
        <v>54</v>
      </c>
      <c r="B14" s="18">
        <v>170342</v>
      </c>
      <c r="C14" t="str">
        <f t="shared" si="0"/>
        <v>average</v>
      </c>
      <c r="G14" s="12"/>
      <c r="K14" s="22" t="s">
        <v>368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</row>
    <row r="15" spans="1:21" x14ac:dyDescent="0.35">
      <c r="A15" s="12" t="s">
        <v>57</v>
      </c>
      <c r="B15" s="18">
        <v>170172</v>
      </c>
      <c r="C15" t="str">
        <f t="shared" si="0"/>
        <v>average</v>
      </c>
      <c r="G15" s="12"/>
      <c r="K15" s="22" t="s">
        <v>369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1:21" x14ac:dyDescent="0.35">
      <c r="A16" s="12" t="s">
        <v>60</v>
      </c>
      <c r="B16" s="18">
        <v>128459</v>
      </c>
      <c r="C16" t="str">
        <f t="shared" si="0"/>
        <v>low</v>
      </c>
      <c r="G16" s="12"/>
      <c r="K16" s="22" t="s">
        <v>370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 x14ac:dyDescent="0.35">
      <c r="A17" s="12" t="s">
        <v>64</v>
      </c>
      <c r="B17" s="18">
        <v>158768</v>
      </c>
      <c r="C17" t="str">
        <f t="shared" si="0"/>
        <v>average</v>
      </c>
      <c r="G17" s="1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x14ac:dyDescent="0.35">
      <c r="A18" s="12" t="s">
        <v>67</v>
      </c>
      <c r="B18" s="18">
        <v>194258</v>
      </c>
      <c r="C18" t="str">
        <f t="shared" si="0"/>
        <v>star</v>
      </c>
      <c r="G18" s="12"/>
    </row>
    <row r="19" spans="1:21" ht="21" x14ac:dyDescent="0.5">
      <c r="A19" s="12" t="s">
        <v>70</v>
      </c>
      <c r="B19" s="18">
        <v>171797</v>
      </c>
      <c r="C19" t="str">
        <f t="shared" si="0"/>
        <v>average</v>
      </c>
      <c r="G19" s="12"/>
      <c r="K19" s="25" t="s">
        <v>371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x14ac:dyDescent="0.35">
      <c r="A20" s="12" t="s">
        <v>73</v>
      </c>
      <c r="B20" s="18">
        <v>89791</v>
      </c>
      <c r="C20" t="str">
        <f t="shared" si="0"/>
        <v>low</v>
      </c>
      <c r="G20" s="12"/>
      <c r="K20" s="24" t="s">
        <v>372</v>
      </c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x14ac:dyDescent="0.35">
      <c r="A21" s="12" t="s">
        <v>76</v>
      </c>
      <c r="B21" s="18">
        <v>148222</v>
      </c>
      <c r="C21" t="str">
        <f t="shared" si="0"/>
        <v>low</v>
      </c>
      <c r="G21" s="12"/>
      <c r="K21" s="24" t="s">
        <v>373</v>
      </c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x14ac:dyDescent="0.35">
      <c r="A22" s="12" t="s">
        <v>79</v>
      </c>
      <c r="B22" s="18">
        <v>167033</v>
      </c>
      <c r="C22" t="str">
        <f t="shared" si="0"/>
        <v>average</v>
      </c>
      <c r="G22" s="12"/>
      <c r="K22" s="24" t="s">
        <v>374</v>
      </c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x14ac:dyDescent="0.35">
      <c r="A23" s="12" t="s">
        <v>81</v>
      </c>
      <c r="B23" s="18">
        <v>120277</v>
      </c>
      <c r="C23" t="str">
        <f t="shared" si="0"/>
        <v>low</v>
      </c>
      <c r="G23" s="12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x14ac:dyDescent="0.35">
      <c r="A24" s="12" t="s">
        <v>84</v>
      </c>
      <c r="B24" s="18">
        <v>155405</v>
      </c>
      <c r="C24" t="str">
        <f t="shared" si="0"/>
        <v>average</v>
      </c>
      <c r="F24" s="2" t="s">
        <v>377</v>
      </c>
      <c r="G24" s="12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x14ac:dyDescent="0.35">
      <c r="A25" s="12" t="s">
        <v>86</v>
      </c>
      <c r="B25" s="18">
        <v>134755</v>
      </c>
      <c r="C25" t="str">
        <f t="shared" si="0"/>
        <v>low</v>
      </c>
      <c r="E25" s="16" t="s">
        <v>0</v>
      </c>
      <c r="F25" s="18" t="s">
        <v>360</v>
      </c>
      <c r="G25" t="s">
        <v>362</v>
      </c>
    </row>
    <row r="26" spans="1:21" hidden="1" x14ac:dyDescent="0.35">
      <c r="A26" s="12" t="s">
        <v>88</v>
      </c>
      <c r="B26" s="18">
        <v>165598</v>
      </c>
      <c r="C26" t="str">
        <f t="shared" si="0"/>
        <v>average</v>
      </c>
      <c r="E26" s="12" t="s">
        <v>7</v>
      </c>
      <c r="F26" s="18">
        <v>93402</v>
      </c>
      <c r="G26" t="str">
        <f>IF(F26&gt;=$E$3,"star",IF(F26&gt;=$E$2,"average","low"))</f>
        <v>low</v>
      </c>
    </row>
    <row r="27" spans="1:21" x14ac:dyDescent="0.35">
      <c r="A27" s="12" t="s">
        <v>90</v>
      </c>
      <c r="B27" s="18">
        <v>189793</v>
      </c>
      <c r="C27" t="str">
        <f t="shared" si="0"/>
        <v>average</v>
      </c>
      <c r="E27" s="12" t="s">
        <v>14</v>
      </c>
      <c r="F27" s="18">
        <v>192961</v>
      </c>
      <c r="G27" t="str">
        <f t="shared" ref="G27:G55" si="1">IF(F27&gt;=$E$3,"star",IF(F27&gt;=$E$2,"average","low"))</f>
        <v>average</v>
      </c>
    </row>
    <row r="28" spans="1:21" hidden="1" x14ac:dyDescent="0.35">
      <c r="A28" s="12" t="s">
        <v>92</v>
      </c>
      <c r="B28" s="18">
        <v>87974</v>
      </c>
      <c r="C28" t="str">
        <f t="shared" si="0"/>
        <v>low</v>
      </c>
      <c r="E28" s="12" t="s">
        <v>21</v>
      </c>
      <c r="F28" s="18">
        <v>160145</v>
      </c>
      <c r="G28" t="str">
        <f t="shared" si="1"/>
        <v>average</v>
      </c>
    </row>
    <row r="29" spans="1:21" hidden="1" x14ac:dyDescent="0.35">
      <c r="A29" s="12" t="s">
        <v>94</v>
      </c>
      <c r="B29" s="18">
        <v>110007</v>
      </c>
      <c r="C29" t="str">
        <f t="shared" si="0"/>
        <v>low</v>
      </c>
      <c r="E29" s="12" t="s">
        <v>24</v>
      </c>
      <c r="F29" s="18">
        <v>132791</v>
      </c>
      <c r="G29" t="str">
        <f t="shared" si="1"/>
        <v>low</v>
      </c>
    </row>
    <row r="30" spans="1:21" x14ac:dyDescent="0.35">
      <c r="A30" s="12" t="s">
        <v>96</v>
      </c>
      <c r="B30" s="18">
        <v>143420</v>
      </c>
      <c r="C30" t="str">
        <f t="shared" si="0"/>
        <v>low</v>
      </c>
      <c r="E30" s="12" t="s">
        <v>28</v>
      </c>
      <c r="F30" s="18">
        <v>195648</v>
      </c>
      <c r="G30" t="str">
        <f t="shared" si="1"/>
        <v>star</v>
      </c>
    </row>
    <row r="31" spans="1:21" hidden="1" x14ac:dyDescent="0.35">
      <c r="A31" s="12" t="s">
        <v>98</v>
      </c>
      <c r="B31" s="18">
        <v>110467</v>
      </c>
      <c r="C31" t="str">
        <f t="shared" si="0"/>
        <v>low</v>
      </c>
      <c r="E31" s="12" t="s">
        <v>33</v>
      </c>
      <c r="F31" s="18">
        <v>150672</v>
      </c>
      <c r="G31" t="str">
        <f t="shared" si="1"/>
        <v>low</v>
      </c>
    </row>
    <row r="32" spans="1:21" x14ac:dyDescent="0.35">
      <c r="A32" s="12" t="s">
        <v>100</v>
      </c>
      <c r="B32" s="18">
        <v>134737</v>
      </c>
      <c r="C32" t="str">
        <f t="shared" si="0"/>
        <v>low</v>
      </c>
      <c r="E32" s="12" t="s">
        <v>38</v>
      </c>
      <c r="F32" s="18">
        <v>214870</v>
      </c>
      <c r="G32" t="str">
        <f t="shared" si="1"/>
        <v>star</v>
      </c>
    </row>
    <row r="33" spans="5:7" hidden="1" x14ac:dyDescent="0.35">
      <c r="E33" s="12" t="s">
        <v>42</v>
      </c>
      <c r="F33" s="18">
        <v>154177</v>
      </c>
      <c r="G33" t="str">
        <f t="shared" si="1"/>
        <v>average</v>
      </c>
    </row>
    <row r="34" spans="5:7" hidden="1" x14ac:dyDescent="0.35">
      <c r="E34" s="12" t="s">
        <v>45</v>
      </c>
      <c r="F34" s="18">
        <v>174166</v>
      </c>
      <c r="G34" t="str">
        <f t="shared" si="1"/>
        <v>average</v>
      </c>
    </row>
    <row r="35" spans="5:7" hidden="1" x14ac:dyDescent="0.35">
      <c r="E35" s="12" t="s">
        <v>49</v>
      </c>
      <c r="F35" s="18">
        <v>127214</v>
      </c>
      <c r="G35" t="str">
        <f t="shared" si="1"/>
        <v>low</v>
      </c>
    </row>
    <row r="36" spans="5:7" hidden="1" x14ac:dyDescent="0.35">
      <c r="E36" s="12" t="s">
        <v>52</v>
      </c>
      <c r="F36" s="18">
        <v>105857</v>
      </c>
      <c r="G36" t="str">
        <f t="shared" si="1"/>
        <v>low</v>
      </c>
    </row>
    <row r="37" spans="5:7" hidden="1" x14ac:dyDescent="0.35">
      <c r="E37" s="12" t="s">
        <v>54</v>
      </c>
      <c r="F37" s="18">
        <v>170342</v>
      </c>
      <c r="G37" t="str">
        <f t="shared" si="1"/>
        <v>average</v>
      </c>
    </row>
    <row r="38" spans="5:7" hidden="1" x14ac:dyDescent="0.35">
      <c r="E38" s="12" t="s">
        <v>57</v>
      </c>
      <c r="F38" s="18">
        <v>170172</v>
      </c>
      <c r="G38" t="str">
        <f t="shared" si="1"/>
        <v>average</v>
      </c>
    </row>
    <row r="39" spans="5:7" hidden="1" x14ac:dyDescent="0.35">
      <c r="E39" s="12" t="s">
        <v>60</v>
      </c>
      <c r="F39" s="18">
        <v>128459</v>
      </c>
      <c r="G39" t="str">
        <f t="shared" si="1"/>
        <v>low</v>
      </c>
    </row>
    <row r="40" spans="5:7" hidden="1" x14ac:dyDescent="0.35">
      <c r="E40" s="12" t="s">
        <v>64</v>
      </c>
      <c r="F40" s="18">
        <v>158768</v>
      </c>
      <c r="G40" t="str">
        <f t="shared" si="1"/>
        <v>average</v>
      </c>
    </row>
    <row r="41" spans="5:7" x14ac:dyDescent="0.35">
      <c r="E41" s="12" t="s">
        <v>67</v>
      </c>
      <c r="F41" s="18">
        <v>194258</v>
      </c>
      <c r="G41" t="str">
        <f t="shared" si="1"/>
        <v>star</v>
      </c>
    </row>
    <row r="42" spans="5:7" hidden="1" x14ac:dyDescent="0.35">
      <c r="E42" s="12" t="s">
        <v>70</v>
      </c>
      <c r="F42" s="18">
        <v>171797</v>
      </c>
      <c r="G42" t="str">
        <f t="shared" si="1"/>
        <v>average</v>
      </c>
    </row>
    <row r="43" spans="5:7" hidden="1" x14ac:dyDescent="0.35">
      <c r="E43" s="12" t="s">
        <v>73</v>
      </c>
      <c r="F43" s="18">
        <v>89791</v>
      </c>
      <c r="G43" t="str">
        <f t="shared" si="1"/>
        <v>low</v>
      </c>
    </row>
    <row r="44" spans="5:7" hidden="1" x14ac:dyDescent="0.35">
      <c r="E44" s="12" t="s">
        <v>76</v>
      </c>
      <c r="F44" s="18">
        <v>148222</v>
      </c>
      <c r="G44" t="str">
        <f t="shared" si="1"/>
        <v>low</v>
      </c>
    </row>
    <row r="45" spans="5:7" hidden="1" x14ac:dyDescent="0.35">
      <c r="E45" s="12" t="s">
        <v>79</v>
      </c>
      <c r="F45" s="18">
        <v>167033</v>
      </c>
      <c r="G45" t="str">
        <f t="shared" si="1"/>
        <v>average</v>
      </c>
    </row>
    <row r="46" spans="5:7" hidden="1" x14ac:dyDescent="0.35">
      <c r="E46" s="12" t="s">
        <v>81</v>
      </c>
      <c r="F46" s="18">
        <v>120277</v>
      </c>
      <c r="G46" t="str">
        <f t="shared" si="1"/>
        <v>low</v>
      </c>
    </row>
    <row r="47" spans="5:7" hidden="1" x14ac:dyDescent="0.35">
      <c r="E47" s="12" t="s">
        <v>84</v>
      </c>
      <c r="F47" s="18">
        <v>155405</v>
      </c>
      <c r="G47" t="str">
        <f t="shared" si="1"/>
        <v>average</v>
      </c>
    </row>
    <row r="48" spans="5:7" hidden="1" x14ac:dyDescent="0.35">
      <c r="E48" s="12" t="s">
        <v>86</v>
      </c>
      <c r="F48" s="18">
        <v>134755</v>
      </c>
      <c r="G48" t="str">
        <f t="shared" si="1"/>
        <v>low</v>
      </c>
    </row>
    <row r="49" spans="5:7" hidden="1" x14ac:dyDescent="0.35">
      <c r="E49" s="12" t="s">
        <v>88</v>
      </c>
      <c r="F49" s="18">
        <v>165598</v>
      </c>
      <c r="G49" t="str">
        <f t="shared" si="1"/>
        <v>average</v>
      </c>
    </row>
    <row r="50" spans="5:7" x14ac:dyDescent="0.35">
      <c r="E50" s="12" t="s">
        <v>90</v>
      </c>
      <c r="F50" s="18">
        <v>189793</v>
      </c>
      <c r="G50" t="str">
        <f t="shared" si="1"/>
        <v>average</v>
      </c>
    </row>
    <row r="51" spans="5:7" hidden="1" x14ac:dyDescent="0.35">
      <c r="E51" s="12" t="s">
        <v>92</v>
      </c>
      <c r="F51" s="18">
        <v>87974</v>
      </c>
      <c r="G51" t="str">
        <f t="shared" si="1"/>
        <v>low</v>
      </c>
    </row>
    <row r="52" spans="5:7" hidden="1" x14ac:dyDescent="0.35">
      <c r="E52" s="12" t="s">
        <v>94</v>
      </c>
      <c r="F52" s="18">
        <v>110007</v>
      </c>
      <c r="G52" t="str">
        <f t="shared" si="1"/>
        <v>low</v>
      </c>
    </row>
    <row r="53" spans="5:7" hidden="1" x14ac:dyDescent="0.35">
      <c r="E53" s="12" t="s">
        <v>96</v>
      </c>
      <c r="F53" s="18">
        <v>143420</v>
      </c>
      <c r="G53" t="str">
        <f t="shared" si="1"/>
        <v>low</v>
      </c>
    </row>
    <row r="54" spans="5:7" hidden="1" x14ac:dyDescent="0.35">
      <c r="E54" s="12" t="s">
        <v>98</v>
      </c>
      <c r="F54" s="18">
        <v>110467</v>
      </c>
      <c r="G54" t="str">
        <f t="shared" si="1"/>
        <v>low</v>
      </c>
    </row>
    <row r="55" spans="5:7" hidden="1" x14ac:dyDescent="0.35">
      <c r="E55" s="12" t="s">
        <v>100</v>
      </c>
      <c r="F55" s="18">
        <v>134737</v>
      </c>
      <c r="G55" t="str">
        <f t="shared" si="1"/>
        <v>low</v>
      </c>
    </row>
  </sheetData>
  <conditionalFormatting sqref="C1:C1048576">
    <cfRule type="containsText" dxfId="5" priority="4" operator="containsText" text="star">
      <formula>NOT(ISERROR(SEARCH("star",C1)))</formula>
    </cfRule>
    <cfRule type="containsText" dxfId="4" priority="5" operator="containsText" text="average">
      <formula>NOT(ISERROR(SEARCH("average",C1)))</formula>
    </cfRule>
    <cfRule type="containsText" dxfId="3" priority="6" operator="containsText" text="low">
      <formula>NOT(ISERROR(SEARCH("low",C1)))</formula>
    </cfRule>
  </conditionalFormatting>
  <conditionalFormatting sqref="G25:G55">
    <cfRule type="containsText" dxfId="2" priority="1" operator="containsText" text="star">
      <formula>NOT(ISERROR(SEARCH("star",G25)))</formula>
    </cfRule>
    <cfRule type="containsText" dxfId="1" priority="2" operator="containsText" text="average">
      <formula>NOT(ISERROR(SEARCH("average",G25)))</formula>
    </cfRule>
    <cfRule type="containsText" dxfId="0" priority="3" operator="containsText" text="low">
      <formula>NOT(ISERROR(SEARCH("low",G25)))</formula>
    </cfRule>
  </conditionalFormatting>
  <pageMargins left="0.7" right="0.7" top="0.75" bottom="0.75" header="0.3" footer="0.3"/>
  <drawing r:id="rId2"/>
  <tableParts count="3"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1ECBD-1944-4075-BB9A-B64D641C6C6F}">
  <dimension ref="AB6:AB7"/>
  <sheetViews>
    <sheetView zoomScale="53" workbookViewId="0">
      <selection activeCell="AC22" sqref="AC22"/>
    </sheetView>
  </sheetViews>
  <sheetFormatPr defaultRowHeight="14.5" x14ac:dyDescent="0.35"/>
  <cols>
    <col min="1" max="2" width="7.36328125" bestFit="1" customWidth="1"/>
    <col min="3" max="4" width="11.36328125" bestFit="1" customWidth="1"/>
    <col min="5" max="5" width="7.1796875" bestFit="1" customWidth="1"/>
    <col min="6" max="6" width="6.54296875" bestFit="1" customWidth="1"/>
    <col min="7" max="7" width="7.1796875" bestFit="1" customWidth="1"/>
    <col min="28" max="28" width="16.36328125" customWidth="1"/>
  </cols>
  <sheetData>
    <row r="6" spans="28:28" x14ac:dyDescent="0.35">
      <c r="AB6">
        <f>COUNTA(Table4[AgentID])</f>
        <v>30</v>
      </c>
    </row>
    <row r="7" spans="28:28" x14ac:dyDescent="0.35">
      <c r="AB7" s="19">
        <f>SUM(Table4[Total FYP])</f>
        <v>4453178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Agent Master</vt:lpstr>
      <vt:lpstr>Activity Log</vt:lpstr>
      <vt:lpstr>Insight → Action</vt:lpstr>
      <vt:lpstr>Retention</vt:lpstr>
      <vt:lpstr>Performance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!</dc:creator>
  <cp:lastModifiedBy>rose !</cp:lastModifiedBy>
  <dcterms:created xsi:type="dcterms:W3CDTF">2026-03-21T06:02:25Z</dcterms:created>
  <dcterms:modified xsi:type="dcterms:W3CDTF">2026-08-04T16:07:53Z</dcterms:modified>
</cp:coreProperties>
</file>