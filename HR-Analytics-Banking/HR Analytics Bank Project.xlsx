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806ca699274148b6/Documents/Data Analytics Journey/excel projecttts/ZeTheta Projects/HR Analyst for Banks/"/>
    </mc:Choice>
  </mc:AlternateContent>
  <xr:revisionPtr revIDLastSave="357" documentId="8_{479AB462-1A6F-4854-95C9-C9355AF42D55}" xr6:coauthVersionLast="47" xr6:coauthVersionMax="47" xr10:uidLastSave="{7D4D361F-9BC6-41FE-9B2E-FEF70FB37DE0}"/>
  <bookViews>
    <workbookView xWindow="-110" yWindow="-110" windowWidth="19420" windowHeight="10300" firstSheet="1" activeTab="4" xr2:uid="{12EB35FE-711A-4245-8E6A-4D49CB6BE4CF}"/>
  </bookViews>
  <sheets>
    <sheet name="HR Dashboard" sheetId="5" r:id="rId1"/>
    <sheet name="Insights &amp; Recommendations" sheetId="4" r:id="rId2"/>
    <sheet name="RISK vs ATTRITION" sheetId="2" r:id="rId3"/>
    <sheet name="Pivott" sheetId="3" r:id="rId4"/>
    <sheet name="EmployeeMaster" sheetId="1" r:id="rId5"/>
  </sheets>
  <definedNames>
    <definedName name="Slicer_Department">#N/A</definedName>
    <definedName name="Slicer_JobRol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1" l="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F2" i="1"/>
  <c r="AF3" i="1"/>
  <c r="AF4"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H122" i="1" l="1"/>
  <c r="AI122" i="1" s="1"/>
  <c r="AH110" i="1"/>
  <c r="AI110" i="1" s="1"/>
  <c r="AH98" i="1"/>
  <c r="AI98" i="1" s="1"/>
  <c r="AH86" i="1"/>
  <c r="AI86" i="1" s="1"/>
  <c r="AH74" i="1"/>
  <c r="AI74" i="1" s="1"/>
  <c r="AH62" i="1"/>
  <c r="AI62" i="1" s="1"/>
  <c r="AH50" i="1"/>
  <c r="AI50" i="1" s="1"/>
  <c r="AH38" i="1"/>
  <c r="AI38" i="1" s="1"/>
  <c r="AH26" i="1"/>
  <c r="AI26" i="1" s="1"/>
  <c r="AH14" i="1"/>
  <c r="AI14" i="1" s="1"/>
  <c r="AH2" i="1"/>
  <c r="AI2" i="1" s="1"/>
  <c r="AH120" i="1"/>
  <c r="AI120" i="1" s="1"/>
  <c r="AH96" i="1"/>
  <c r="AI96" i="1" s="1"/>
  <c r="AH72" i="1"/>
  <c r="AI72" i="1" s="1"/>
  <c r="AH48" i="1"/>
  <c r="AI48" i="1" s="1"/>
  <c r="AH24" i="1"/>
  <c r="AI24" i="1" s="1"/>
  <c r="AH108" i="1"/>
  <c r="AI108" i="1" s="1"/>
  <c r="AH84" i="1"/>
  <c r="AI84" i="1" s="1"/>
  <c r="AH60" i="1"/>
  <c r="AI60" i="1" s="1"/>
  <c r="AH12" i="1"/>
  <c r="AI12" i="1" s="1"/>
  <c r="AH11" i="1"/>
  <c r="AI11" i="1" s="1"/>
  <c r="AH119" i="1"/>
  <c r="AI119" i="1" s="1"/>
  <c r="AH95" i="1"/>
  <c r="AI95" i="1" s="1"/>
  <c r="AH71" i="1"/>
  <c r="AI71" i="1" s="1"/>
  <c r="AH35" i="1"/>
  <c r="AI35" i="1" s="1"/>
  <c r="AH23" i="1"/>
  <c r="AI23" i="1" s="1"/>
  <c r="AH36" i="1"/>
  <c r="AI36" i="1" s="1"/>
  <c r="AH70" i="1"/>
  <c r="AI70" i="1" s="1"/>
  <c r="AH117" i="1"/>
  <c r="AI117" i="1" s="1"/>
  <c r="AH81" i="1"/>
  <c r="AI81" i="1" s="1"/>
  <c r="AH45" i="1"/>
  <c r="AI45" i="1" s="1"/>
  <c r="AH9" i="1"/>
  <c r="AI9" i="1" s="1"/>
  <c r="AH92" i="1"/>
  <c r="AI92" i="1" s="1"/>
  <c r="AH32" i="1"/>
  <c r="AI32" i="1" s="1"/>
  <c r="AH107" i="1"/>
  <c r="AI107" i="1" s="1"/>
  <c r="AH47" i="1"/>
  <c r="AI47" i="1" s="1"/>
  <c r="AH118" i="1"/>
  <c r="AI118" i="1" s="1"/>
  <c r="AH94" i="1"/>
  <c r="AI94" i="1" s="1"/>
  <c r="AH58" i="1"/>
  <c r="AI58" i="1" s="1"/>
  <c r="AH10" i="1"/>
  <c r="AI10" i="1" s="1"/>
  <c r="AH129" i="1"/>
  <c r="AI129" i="1" s="1"/>
  <c r="AH105" i="1"/>
  <c r="AI105" i="1" s="1"/>
  <c r="AH93" i="1"/>
  <c r="AI93" i="1" s="1"/>
  <c r="AH69" i="1"/>
  <c r="AI69" i="1" s="1"/>
  <c r="AH57" i="1"/>
  <c r="AI57" i="1" s="1"/>
  <c r="AH33" i="1"/>
  <c r="AI33" i="1" s="1"/>
  <c r="AH21" i="1"/>
  <c r="AI21" i="1" s="1"/>
  <c r="AH128" i="1"/>
  <c r="AI128" i="1" s="1"/>
  <c r="AH116" i="1"/>
  <c r="AI116" i="1" s="1"/>
  <c r="AH104" i="1"/>
  <c r="AI104" i="1" s="1"/>
  <c r="AH80" i="1"/>
  <c r="AI80" i="1" s="1"/>
  <c r="AH68" i="1"/>
  <c r="AI68" i="1" s="1"/>
  <c r="AH56" i="1"/>
  <c r="AI56" i="1" s="1"/>
  <c r="AH44" i="1"/>
  <c r="AI44" i="1" s="1"/>
  <c r="AH20" i="1"/>
  <c r="AI20" i="1" s="1"/>
  <c r="AH8" i="1"/>
  <c r="AI8" i="1" s="1"/>
  <c r="AH22" i="1"/>
  <c r="AI22" i="1" s="1"/>
  <c r="AH83" i="1"/>
  <c r="AI83" i="1" s="1"/>
  <c r="AH106" i="1"/>
  <c r="AI106" i="1" s="1"/>
  <c r="AH34" i="1"/>
  <c r="AI34" i="1" s="1"/>
  <c r="AH101" i="1"/>
  <c r="AI101" i="1" s="1"/>
  <c r="AH53" i="1"/>
  <c r="AI53" i="1" s="1"/>
  <c r="AH17" i="1"/>
  <c r="AI17" i="1" s="1"/>
  <c r="AH130" i="1"/>
  <c r="AI130" i="1" s="1"/>
  <c r="AH46" i="1"/>
  <c r="AI46" i="1" s="1"/>
  <c r="AH89" i="1"/>
  <c r="AI89" i="1" s="1"/>
  <c r="AH65" i="1"/>
  <c r="AI65" i="1" s="1"/>
  <c r="AH29" i="1"/>
  <c r="AI29" i="1" s="1"/>
  <c r="AH59" i="1"/>
  <c r="AI59" i="1" s="1"/>
  <c r="AH82" i="1"/>
  <c r="AI82" i="1" s="1"/>
  <c r="AH125" i="1"/>
  <c r="AI125" i="1" s="1"/>
  <c r="AH113" i="1"/>
  <c r="AI113" i="1" s="1"/>
  <c r="AH77" i="1"/>
  <c r="AI77" i="1" s="1"/>
  <c r="AH41" i="1"/>
  <c r="AI41" i="1" s="1"/>
  <c r="AH5" i="1"/>
  <c r="AI5" i="1" s="1"/>
  <c r="AH127" i="1"/>
  <c r="AI127" i="1" s="1"/>
  <c r="AH115" i="1"/>
  <c r="AI115" i="1" s="1"/>
  <c r="AH103" i="1"/>
  <c r="AI103" i="1" s="1"/>
  <c r="AH91" i="1"/>
  <c r="AI91" i="1" s="1"/>
  <c r="AH79" i="1"/>
  <c r="AI79" i="1" s="1"/>
  <c r="AH67" i="1"/>
  <c r="AI67" i="1" s="1"/>
  <c r="AH55" i="1"/>
  <c r="AI55" i="1" s="1"/>
  <c r="AH43" i="1"/>
  <c r="AI43" i="1" s="1"/>
  <c r="AH31" i="1"/>
  <c r="AI31" i="1" s="1"/>
  <c r="AH19" i="1"/>
  <c r="AI19" i="1" s="1"/>
  <c r="AH7" i="1"/>
  <c r="AI7" i="1" s="1"/>
  <c r="AH126" i="1"/>
  <c r="AI126" i="1" s="1"/>
  <c r="AH114" i="1"/>
  <c r="AI114" i="1" s="1"/>
  <c r="AH102" i="1"/>
  <c r="AI102" i="1" s="1"/>
  <c r="AH90" i="1"/>
  <c r="AI90" i="1" s="1"/>
  <c r="AH78" i="1"/>
  <c r="AI78" i="1" s="1"/>
  <c r="AH66" i="1"/>
  <c r="AI66" i="1" s="1"/>
  <c r="AH54" i="1"/>
  <c r="AI54" i="1" s="1"/>
  <c r="AH42" i="1"/>
  <c r="AI42" i="1" s="1"/>
  <c r="AH30" i="1"/>
  <c r="AI30" i="1" s="1"/>
  <c r="AH18" i="1"/>
  <c r="AI18" i="1" s="1"/>
  <c r="AH6" i="1"/>
  <c r="AI6" i="1" s="1"/>
  <c r="AH124" i="1"/>
  <c r="AI124" i="1" s="1"/>
  <c r="AH112" i="1"/>
  <c r="AI112" i="1" s="1"/>
  <c r="AH100" i="1"/>
  <c r="AI100" i="1" s="1"/>
  <c r="AH88" i="1"/>
  <c r="AI88" i="1" s="1"/>
  <c r="AH76" i="1"/>
  <c r="AI76" i="1" s="1"/>
  <c r="AH64" i="1"/>
  <c r="AI64" i="1" s="1"/>
  <c r="AH52" i="1"/>
  <c r="AI52" i="1" s="1"/>
  <c r="AH40" i="1"/>
  <c r="AI40" i="1" s="1"/>
  <c r="AH28" i="1"/>
  <c r="AI28" i="1" s="1"/>
  <c r="AH16" i="1"/>
  <c r="AI16" i="1" s="1"/>
  <c r="AH4" i="1"/>
  <c r="AI4" i="1" s="1"/>
  <c r="AH123" i="1"/>
  <c r="AI123" i="1" s="1"/>
  <c r="AH111" i="1"/>
  <c r="AI111" i="1" s="1"/>
  <c r="AH99" i="1"/>
  <c r="AI99" i="1" s="1"/>
  <c r="AH87" i="1"/>
  <c r="AI87" i="1" s="1"/>
  <c r="AH75" i="1"/>
  <c r="AI75" i="1" s="1"/>
  <c r="AH63" i="1"/>
  <c r="AI63" i="1" s="1"/>
  <c r="AH51" i="1"/>
  <c r="AI51" i="1" s="1"/>
  <c r="AH39" i="1"/>
  <c r="AI39" i="1" s="1"/>
  <c r="AH27" i="1"/>
  <c r="AI27" i="1" s="1"/>
  <c r="AH15" i="1"/>
  <c r="AI15" i="1" s="1"/>
  <c r="AH3" i="1"/>
  <c r="AI3" i="1" s="1"/>
  <c r="AH121" i="1"/>
  <c r="AI121" i="1" s="1"/>
  <c r="AH109" i="1"/>
  <c r="AI109" i="1" s="1"/>
  <c r="AH97" i="1"/>
  <c r="AI97" i="1" s="1"/>
  <c r="AH85" i="1"/>
  <c r="AI85" i="1" s="1"/>
  <c r="AH73" i="1"/>
  <c r="AI73" i="1" s="1"/>
  <c r="AH61" i="1"/>
  <c r="AI61" i="1" s="1"/>
  <c r="AH49" i="1"/>
  <c r="AI49" i="1" s="1"/>
  <c r="AH37" i="1"/>
  <c r="AI37" i="1" s="1"/>
  <c r="AH25" i="1"/>
  <c r="AI25" i="1" s="1"/>
  <c r="AH13" i="1"/>
  <c r="AI13" i="1" s="1"/>
</calcChain>
</file>

<file path=xl/sharedStrings.xml><?xml version="1.0" encoding="utf-8"?>
<sst xmlns="http://schemas.openxmlformats.org/spreadsheetml/2006/main" count="1504" uniqueCount="213">
  <si>
    <t>Age</t>
  </si>
  <si>
    <t>Attrition</t>
  </si>
  <si>
    <t>BusinessTravel</t>
  </si>
  <si>
    <t>Department</t>
  </si>
  <si>
    <t>DistanceFromHome</t>
  </si>
  <si>
    <t>Education</t>
  </si>
  <si>
    <t>EducationField</t>
  </si>
  <si>
    <t>EnvironmentSatisfaction</t>
  </si>
  <si>
    <t>Gender</t>
  </si>
  <si>
    <t>JobInvolvement</t>
  </si>
  <si>
    <t>JobLevel</t>
  </si>
  <si>
    <t>JobRole</t>
  </si>
  <si>
    <t>JobSatisfaction</t>
  </si>
  <si>
    <t>MaritalStatus</t>
  </si>
  <si>
    <t>NumCompaniesWorked</t>
  </si>
  <si>
    <t>OverTime</t>
  </si>
  <si>
    <t>PerformanceRating</t>
  </si>
  <si>
    <t>TrainingTimesLastYear</t>
  </si>
  <si>
    <t>WorkLifeBalance</t>
  </si>
  <si>
    <t>YearsInCurrentRole</t>
  </si>
  <si>
    <t>YearsSinceLastPromotion</t>
  </si>
  <si>
    <t>Yes</t>
  </si>
  <si>
    <t>Travel_Rarely</t>
  </si>
  <si>
    <t>Life Sciences</t>
  </si>
  <si>
    <t>Female</t>
  </si>
  <si>
    <t>Single</t>
  </si>
  <si>
    <t>No</t>
  </si>
  <si>
    <t>Travel_Frequently</t>
  </si>
  <si>
    <t>Male</t>
  </si>
  <si>
    <t>Married</t>
  </si>
  <si>
    <t>Other</t>
  </si>
  <si>
    <t>Medical</t>
  </si>
  <si>
    <t>Divorced</t>
  </si>
  <si>
    <t>Non-Travel</t>
  </si>
  <si>
    <t>Marketing</t>
  </si>
  <si>
    <t>Technical Degree</t>
  </si>
  <si>
    <t>Salary</t>
  </si>
  <si>
    <t>TotalExperience</t>
  </si>
  <si>
    <t>Tenure</t>
  </si>
  <si>
    <t>Retail Banking</t>
  </si>
  <si>
    <t>Risk</t>
  </si>
  <si>
    <t>Operations</t>
  </si>
  <si>
    <t>Location</t>
  </si>
  <si>
    <t>Bank Unit</t>
  </si>
  <si>
    <t>Risk Score</t>
  </si>
  <si>
    <t>Mumbai</t>
  </si>
  <si>
    <t>Delhi</t>
  </si>
  <si>
    <t>Bangalore</t>
  </si>
  <si>
    <t>Hyderabad</t>
  </si>
  <si>
    <t>Corporate Banking</t>
  </si>
  <si>
    <t>Relationship Manager</t>
  </si>
  <si>
    <t>Branch Manager</t>
  </si>
  <si>
    <t>YearsWithCurrBranch Manager</t>
  </si>
  <si>
    <t>Risk Analyst</t>
  </si>
  <si>
    <t>Row Labels</t>
  </si>
  <si>
    <t>Grand Total</t>
  </si>
  <si>
    <t>Count of Attrition</t>
  </si>
  <si>
    <t>Column Labels</t>
  </si>
  <si>
    <t>E001</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</si>
  <si>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</si>
  <si>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</si>
  <si>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</si>
  <si>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</si>
  <si>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</si>
  <si>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</si>
  <si>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</si>
  <si>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</si>
  <si>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</si>
  <si>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</si>
  <si>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</si>
  <si>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</si>
  <si>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</si>
  <si>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</si>
  <si>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</si>
  <si>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</si>
  <si>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</si>
  <si>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</si>
  <si>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</si>
  <si>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</si>
  <si>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</si>
  <si>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</si>
  <si>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</si>
  <si>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</si>
  <si>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</si>
  <si>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</si>
  <si>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</si>
  <si>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</si>
  <si>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</si>
  <si>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</si>
  <si>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</si>
  <si>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</si>
  <si>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</si>
  <si>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</si>
  <si>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</si>
  <si>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</si>
  <si>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</si>
  <si>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</si>
  <si>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</si>
  <si>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</si>
  <si>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</si>
  <si>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</si>
  <si>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</si>
  <si>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</si>
  <si>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</si>
  <si>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</si>
  <si>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</si>
  <si>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</si>
  <si>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</si>
  <si>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</si>
  <si>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</si>
  <si>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</si>
  <si>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</si>
  <si>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</si>
  <si>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</si>
  <si>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</si>
  <si>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</si>
  <si>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</si>
  <si>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</si>
  <si>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</si>
  <si>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</si>
  <si>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</si>
  <si>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</si>
  <si>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</si>
  <si>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</si>
  <si>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</si>
  <si>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</si>
  <si>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</si>
  <si>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</si>
  <si>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</si>
  <si>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</si>
  <si>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</si>
  <si>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</si>
  <si>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</si>
  <si>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</si>
  <si>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</si>
  <si>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</si>
  <si>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</si>
  <si>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</si>
  <si>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</si>
  <si>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</si>
  <si>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</si>
  <si>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</si>
  <si>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</si>
  <si>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</si>
  <si>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</si>
  <si>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</si>
  <si>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</si>
  <si>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</si>
  <si>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</si>
  <si>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</si>
  <si>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</si>
  <si>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</si>
  <si>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</si>
  <si>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</si>
  <si>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</si>
  <si>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</si>
  <si>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</si>
  <si>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</si>
  <si>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</si>
  <si>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</si>
  <si>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</si>
  <si>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</si>
  <si>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</si>
  <si>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</si>
  <si>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</si>
  <si>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</si>
  <si>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</si>
  <si>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</si>
  <si>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</si>
  <si>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</si>
  <si>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</si>
  <si>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</si>
  <si>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</si>
  <si>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</si>
  <si>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</si>
  <si>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</si>
  <si>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</si>
  <si>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</si>
  <si>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</si>
  <si>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</si>
  <si>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</si>
  <si>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</si>
  <si>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</si>
  <si>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</si>
  <si>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</si>
  <si>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</si>
  <si>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</si>
  <si>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Employee ID</t>
  </si>
  <si>
    <t>Count of Employee ID</t>
  </si>
  <si>
    <t>Which department has highest attrition</t>
  </si>
  <si>
    <t>Average of Salary</t>
  </si>
  <si>
    <t>Average Salary by Department</t>
  </si>
  <si>
    <t>Attrition Count</t>
  </si>
  <si>
    <t>Performance vs Attrition</t>
  </si>
  <si>
    <t>Count of Salary</t>
  </si>
  <si>
    <t>Risk_Salary</t>
  </si>
  <si>
    <t>Risk_Tenure</t>
  </si>
  <si>
    <t>Risk_Performance</t>
  </si>
  <si>
    <t>Risk_Overtime</t>
  </si>
  <si>
    <t>Total_Risk_Score</t>
  </si>
  <si>
    <t>Risk_Category</t>
  </si>
  <si>
    <t>Medium</t>
  </si>
  <si>
    <t>Low</t>
  </si>
  <si>
    <t>RISK vs ATTRITION</t>
  </si>
  <si>
    <t>INSIGHTS</t>
  </si>
  <si>
    <t>RECOMMENDATIONS</t>
  </si>
  <si>
    <t>#1F3A5F</t>
  </si>
  <si>
    <t>#4A90E2</t>
  </si>
  <si>
    <t>#D6E6F2</t>
  </si>
  <si>
    <t>#6B7280</t>
  </si>
  <si>
    <t>#FFFFFF</t>
  </si>
  <si>
    <t>High</t>
  </si>
  <si>
    <t>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</si>
</sst>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7" x14ac:knownFonts="1">
    <font>
      <sz val="11"/>
      <color theme="1"/>
      <name val="Aptos Narrow"/>
      <family val="2"/>
      <scheme val="minor"/>
    </font>
    <font>
      <b/>
      <sz val="11"/>
      <color theme="1"/>
      <name val="Aptos Narrow"/>
      <family val="2"/>
      <scheme val="minor"/>
    </font>
    <font>
      <b/>
      <sz val="36"/>
      <color theme="1"/>
      <name val="Alasassy Caps"/>
    </font>
    <font>
      <sz val="11"/>
      <color theme="1"/>
      <name val="Amasis MT Pro"/>
      <family val="1"/>
    </font>
    <font>
      <sz val="36"/>
      <color theme="1"/>
      <name val="Amasis MT Pro"/>
      <family val="1"/>
    </font>
    <font>
      <sz val="36"/>
      <color theme="1"/>
      <name val="Amasis MT Pro Light"/>
      <family val="1"/>
    </font>
    <font>
      <sz val="18"/>
      <color theme="1"/>
      <name val="Amasis MT Pro"/>
      <family val="1"/>
    </font>
  </fonts>
  <fills count="8">
    <fill>
      <patternFill patternType="none"/>
    </fill>
    <fill>
      <patternFill patternType="gray125"/>
    </fill>
    <fill>
      <patternFill patternType="solid">
        <fgColor rgb="FF1F3A5F"/>
        <bgColor indexed="64"/>
      </patternFill>
    </fill>
    <fill>
      <patternFill patternType="solid">
        <fgColor rgb="FF4A90E2"/>
        <bgColor indexed="64"/>
      </patternFill>
    </fill>
    <fill>
      <patternFill patternType="solid">
        <fgColor rgb="FFD6E6F2"/>
        <bgColor indexed="64"/>
      </patternFill>
    </fill>
    <fill>
      <patternFill patternType="solid">
        <fgColor rgb="FF6B7280"/>
        <bgColor indexed="64"/>
      </patternFill>
    </fill>
    <fill>
      <patternFill patternType="solid">
        <fgColor rgb="FFFFFFFF"/>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left"/>
    </xf>
    <xf numFmtId="0" fontId="0" fillId="0" borderId="0" xfId="0" applyAlignment="1">
      <alignment horizontal="center"/>
    </xf>
    <xf numFmtId="0" fontId="0" fillId="0" borderId="0" xfId="0" pivotButton="1"/>
    <xf numFmtId="0" fontId="1" fillId="0" borderId="0" xfId="0" applyFont="1" applyAlignment="1">
      <alignment horizontal="center"/>
    </xf>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3" fillId="0" borderId="0" xfId="0" applyFont="1"/>
    <xf numFmtId="164" fontId="0" fillId="0" borderId="0" xfId="0" applyNumberFormat="1"/>
    <xf numFmtId="164" fontId="1" fillId="0" borderId="0" xfId="0" applyNumberFormat="1" applyFont="1" applyAlignment="1">
      <alignment horizontal="left"/>
    </xf>
    <xf numFmtId="164" fontId="1" fillId="0" borderId="0" xfId="0" applyNumberFormat="1" applyFont="1" applyAlignment="1">
      <alignment horizontal="center"/>
    </xf>
    <xf numFmtId="164" fontId="1" fillId="0" borderId="0" xfId="0" applyNumberFormat="1" applyFont="1"/>
    <xf numFmtId="0" fontId="6" fillId="7" borderId="0" xfId="0" applyFont="1" applyFill="1" applyAlignment="1">
      <alignment horizontal="center"/>
    </xf>
    <xf numFmtId="0" fontId="4" fillId="7" borderId="0" xfId="0" applyFont="1" applyFill="1" applyAlignment="1">
      <alignment horizontal="center" vertical="center"/>
    </xf>
    <xf numFmtId="0" fontId="2" fillId="7" borderId="0" xfId="0" applyFont="1" applyFill="1" applyAlignment="1">
      <alignment horizontal="center" vertical="center"/>
    </xf>
    <xf numFmtId="0" fontId="5" fillId="7" borderId="0" xfId="0" applyFont="1" applyFill="1" applyAlignment="1">
      <alignment horizontal="center" vertical="center"/>
    </xf>
  </cellXfs>
  <cellStyles count="1">
    <cellStyle name="Normal" xfId="0" builtinId="0"/>
  </cellStyles>
  <dxfs count="35">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font>
      <numFmt numFmtId="164" formatCode="&quot;₹&quot;\ #,##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colors>
    <mruColors>
      <color rgb="FFD9EAF7"/>
      <color rgb="FF4A90E2"/>
      <color rgb="FFD6E6F2"/>
      <color rgb="FF1F4E78"/>
      <color rgb="FFFFFFFF"/>
      <color rgb="FF6B7280"/>
      <color rgb="FF1F3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Bank Project.xlsx]Pivott!PivotTable1</c:name>
    <c:fmtId val="3"/>
  </c:pivotSource>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IN" sz="2000" b="1" i="0" u="none" strike="noStrike" baseline="0">
                <a:solidFill>
                  <a:schemeClr val="tx1"/>
                </a:solidFill>
              </a:rPr>
              <a:t>Employees Who Left</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50"/>
          </a:solidFill>
          <a:ln w="19050">
            <a:solidFill>
              <a:schemeClr val="lt1"/>
            </a:solidFill>
          </a:ln>
          <a:effectLst/>
        </c:spPr>
      </c:pivotFmt>
      <c:pivotFmt>
        <c:idx val="6"/>
        <c:spPr>
          <a:solidFill>
            <a:srgbClr val="FF0000"/>
          </a:solidFill>
          <a:ln w="19050">
            <a:solidFill>
              <a:schemeClr val="lt1"/>
            </a:solidFill>
          </a:ln>
          <a:effectLst/>
        </c:spPr>
      </c:pivotFmt>
    </c:pivotFmts>
    <c:plotArea>
      <c:layout/>
      <c:pieChart>
        <c:varyColors val="1"/>
        <c:ser>
          <c:idx val="0"/>
          <c:order val="0"/>
          <c:tx>
            <c:strRef>
              <c:f>Pivott!$B$3</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F730-4F96-AD73-617ADEE9D0D7}"/>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F730-4F96-AD73-617ADEE9D0D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Pivott!$A$4:$A$6</c:f>
              <c:strCache>
                <c:ptCount val="2"/>
                <c:pt idx="0">
                  <c:v>No</c:v>
                </c:pt>
                <c:pt idx="1">
                  <c:v>Yes</c:v>
                </c:pt>
              </c:strCache>
            </c:strRef>
          </c:cat>
          <c:val>
            <c:numRef>
              <c:f>Pivott!$B$4:$B$6</c:f>
              <c:numCache>
                <c:formatCode>General</c:formatCode>
                <c:ptCount val="2"/>
                <c:pt idx="0">
                  <c:v>106</c:v>
                </c:pt>
                <c:pt idx="1">
                  <c:v>23</c:v>
                </c:pt>
              </c:numCache>
            </c:numRef>
          </c:val>
          <c:extLst>
            <c:ext xmlns:c16="http://schemas.microsoft.com/office/drawing/2014/chart" uri="{C3380CC4-5D6E-409C-BE32-E72D297353CC}">
              <c16:uniqueId val="{00000004-F730-4F96-AD73-617ADEE9D0D7}"/>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9EAF7"/>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Bank Project.xlsx]Pivott!PivotTable4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2000" b="1" i="0" u="none" strike="noStrike" baseline="0">
                <a:solidFill>
                  <a:schemeClr val="tx1"/>
                </a:solidFill>
              </a:rPr>
              <a:t>Which Department Has Highest Attrition</a:t>
            </a:r>
            <a:endParaRPr lang="en-IN" sz="20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Pivott!$E$3:$E$4</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Pivott!$D$5:$D$8</c:f>
              <c:strCache>
                <c:ptCount val="3"/>
                <c:pt idx="0">
                  <c:v>Operations</c:v>
                </c:pt>
                <c:pt idx="1">
                  <c:v>Retail Banking</c:v>
                </c:pt>
                <c:pt idx="2">
                  <c:v>Risk</c:v>
                </c:pt>
              </c:strCache>
            </c:strRef>
          </c:cat>
          <c:val>
            <c:numRef>
              <c:f>Pivott!$E$5:$E$8</c:f>
              <c:numCache>
                <c:formatCode>General</c:formatCode>
                <c:ptCount val="3"/>
                <c:pt idx="0">
                  <c:v>2</c:v>
                </c:pt>
                <c:pt idx="1">
                  <c:v>26</c:v>
                </c:pt>
                <c:pt idx="2">
                  <c:v>78</c:v>
                </c:pt>
              </c:numCache>
            </c:numRef>
          </c:val>
          <c:extLst>
            <c:ext xmlns:c16="http://schemas.microsoft.com/office/drawing/2014/chart" uri="{C3380CC4-5D6E-409C-BE32-E72D297353CC}">
              <c16:uniqueId val="{00000000-2DFE-483F-93F7-737038CC7C78}"/>
            </c:ext>
          </c:extLst>
        </c:ser>
        <c:ser>
          <c:idx val="1"/>
          <c:order val="1"/>
          <c:tx>
            <c:strRef>
              <c:f>Pivott!$F$3:$F$4</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Pivott!$D$5:$D$8</c:f>
              <c:strCache>
                <c:ptCount val="3"/>
                <c:pt idx="0">
                  <c:v>Operations</c:v>
                </c:pt>
                <c:pt idx="1">
                  <c:v>Retail Banking</c:v>
                </c:pt>
                <c:pt idx="2">
                  <c:v>Risk</c:v>
                </c:pt>
              </c:strCache>
            </c:strRef>
          </c:cat>
          <c:val>
            <c:numRef>
              <c:f>Pivott!$F$5:$F$8</c:f>
              <c:numCache>
                <c:formatCode>General</c:formatCode>
                <c:ptCount val="3"/>
                <c:pt idx="1">
                  <c:v>8</c:v>
                </c:pt>
                <c:pt idx="2">
                  <c:v>15</c:v>
                </c:pt>
              </c:numCache>
            </c:numRef>
          </c:val>
          <c:extLst>
            <c:ext xmlns:c16="http://schemas.microsoft.com/office/drawing/2014/chart" uri="{C3380CC4-5D6E-409C-BE32-E72D297353CC}">
              <c16:uniqueId val="{00000001-43AE-445E-ACFA-81784174217C}"/>
            </c:ext>
          </c:extLst>
        </c:ser>
        <c:dLbls>
          <c:dLblPos val="outEnd"/>
          <c:showLegendKey val="0"/>
          <c:showVal val="1"/>
          <c:showCatName val="0"/>
          <c:showSerName val="0"/>
          <c:showPercent val="0"/>
          <c:showBubbleSize val="0"/>
        </c:dLbls>
        <c:gapWidth val="150"/>
        <c:axId val="971711343"/>
        <c:axId val="971714223"/>
      </c:barChart>
      <c:catAx>
        <c:axId val="97171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971714223"/>
        <c:crosses val="autoZero"/>
        <c:auto val="1"/>
        <c:lblAlgn val="ctr"/>
        <c:lblOffset val="100"/>
        <c:noMultiLvlLbl val="0"/>
      </c:catAx>
      <c:valAx>
        <c:axId val="97171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97171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E6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Bank Project.xlsx]Pivott!PivotTable5</c:name>
    <c:fmtId val="1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2000" b="1" i="0" u="none" strike="noStrike" baseline="0">
                <a:solidFill>
                  <a:schemeClr val="tx1"/>
                </a:solidFill>
              </a:rPr>
              <a:t>Salary Differences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Pivott!$F$12</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Pivott!$E$13:$E$16</c:f>
              <c:strCache>
                <c:ptCount val="3"/>
                <c:pt idx="0">
                  <c:v>Operations</c:v>
                </c:pt>
                <c:pt idx="1">
                  <c:v>Retail Banking</c:v>
                </c:pt>
                <c:pt idx="2">
                  <c:v>Risk</c:v>
                </c:pt>
              </c:strCache>
            </c:strRef>
          </c:cat>
          <c:val>
            <c:numRef>
              <c:f>Pivott!$F$13:$F$16</c:f>
              <c:numCache>
                <c:formatCode>"₹"\ #,##0</c:formatCode>
                <c:ptCount val="3"/>
                <c:pt idx="0">
                  <c:v>18086</c:v>
                </c:pt>
                <c:pt idx="1">
                  <c:v>6844.7058823529414</c:v>
                </c:pt>
                <c:pt idx="2">
                  <c:v>5836.7634408602153</c:v>
                </c:pt>
              </c:numCache>
            </c:numRef>
          </c:val>
          <c:extLst>
            <c:ext xmlns:c16="http://schemas.microsoft.com/office/drawing/2014/chart" uri="{C3380CC4-5D6E-409C-BE32-E72D297353CC}">
              <c16:uniqueId val="{00000000-215E-4845-BADD-35C96998B076}"/>
            </c:ext>
          </c:extLst>
        </c:ser>
        <c:dLbls>
          <c:dLblPos val="outEnd"/>
          <c:showLegendKey val="0"/>
          <c:showVal val="1"/>
          <c:showCatName val="0"/>
          <c:showSerName val="0"/>
          <c:showPercent val="0"/>
          <c:showBubbleSize val="0"/>
        </c:dLbls>
        <c:gapWidth val="54"/>
        <c:axId val="989266111"/>
        <c:axId val="989266591"/>
      </c:barChart>
      <c:catAx>
        <c:axId val="989266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Segoe UI Semibold" panose="020B0702040204020203" pitchFamily="34" charset="0"/>
                <a:ea typeface="Cambria" panose="02040503050406030204" pitchFamily="18" charset="0"/>
                <a:cs typeface="Segoe UI Semibold" panose="020B0702040204020203" pitchFamily="34" charset="0"/>
              </a:defRPr>
            </a:pPr>
            <a:endParaRPr lang="en-US"/>
          </a:p>
        </c:txPr>
        <c:crossAx val="989266591"/>
        <c:crosses val="autoZero"/>
        <c:auto val="1"/>
        <c:lblAlgn val="ctr"/>
        <c:lblOffset val="100"/>
        <c:noMultiLvlLbl val="0"/>
      </c:catAx>
      <c:valAx>
        <c:axId val="9892665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8926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E6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Bank Project.xlsx]RISK vs ATTRITION!PivotTable8</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r>
              <a:rPr lang="en-IN" sz="2000">
                <a:solidFill>
                  <a:schemeClr val="tx1"/>
                </a:solidFill>
              </a:rPr>
              <a:t>High risk vs Low risk employees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'RISK vs ATTRITION'!$B$4:$B$5</c:f>
              <c:strCache>
                <c:ptCount val="1"/>
                <c:pt idx="0">
                  <c:v>No</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vs ATTRITION'!$A$6:$A$9</c:f>
              <c:strCache>
                <c:ptCount val="3"/>
                <c:pt idx="0">
                  <c:v>Medium</c:v>
                </c:pt>
                <c:pt idx="1">
                  <c:v>Low</c:v>
                </c:pt>
                <c:pt idx="2">
                  <c:v>High</c:v>
                </c:pt>
              </c:strCache>
            </c:strRef>
          </c:cat>
          <c:val>
            <c:numRef>
              <c:f>'RISK vs ATTRITION'!$B$6:$B$9</c:f>
              <c:numCache>
                <c:formatCode>General</c:formatCode>
                <c:ptCount val="3"/>
                <c:pt idx="0">
                  <c:v>27</c:v>
                </c:pt>
                <c:pt idx="1">
                  <c:v>70</c:v>
                </c:pt>
                <c:pt idx="2">
                  <c:v>9</c:v>
                </c:pt>
              </c:numCache>
            </c:numRef>
          </c:val>
          <c:extLst>
            <c:ext xmlns:c16="http://schemas.microsoft.com/office/drawing/2014/chart" uri="{C3380CC4-5D6E-409C-BE32-E72D297353CC}">
              <c16:uniqueId val="{00000000-758A-4A3D-89C2-4BFD02CC461F}"/>
            </c:ext>
          </c:extLst>
        </c:ser>
        <c:ser>
          <c:idx val="1"/>
          <c:order val="1"/>
          <c:tx>
            <c:strRef>
              <c:f>'RISK vs ATTRITION'!$C$4:$C$5</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vs ATTRITION'!$A$6:$A$9</c:f>
              <c:strCache>
                <c:ptCount val="3"/>
                <c:pt idx="0">
                  <c:v>Medium</c:v>
                </c:pt>
                <c:pt idx="1">
                  <c:v>Low</c:v>
                </c:pt>
                <c:pt idx="2">
                  <c:v>High</c:v>
                </c:pt>
              </c:strCache>
            </c:strRef>
          </c:cat>
          <c:val>
            <c:numRef>
              <c:f>'RISK vs ATTRITION'!$C$6:$C$9</c:f>
              <c:numCache>
                <c:formatCode>General</c:formatCode>
                <c:ptCount val="3"/>
                <c:pt idx="0">
                  <c:v>9</c:v>
                </c:pt>
                <c:pt idx="1">
                  <c:v>6</c:v>
                </c:pt>
                <c:pt idx="2">
                  <c:v>8</c:v>
                </c:pt>
              </c:numCache>
            </c:numRef>
          </c:val>
          <c:extLst>
            <c:ext xmlns:c16="http://schemas.microsoft.com/office/drawing/2014/chart" uri="{C3380CC4-5D6E-409C-BE32-E72D297353CC}">
              <c16:uniqueId val="{00000001-B222-4821-88ED-9F70092B9D51}"/>
            </c:ext>
          </c:extLst>
        </c:ser>
        <c:dLbls>
          <c:dLblPos val="outEnd"/>
          <c:showLegendKey val="0"/>
          <c:showVal val="1"/>
          <c:showCatName val="0"/>
          <c:showSerName val="0"/>
          <c:showPercent val="0"/>
          <c:showBubbleSize val="0"/>
        </c:dLbls>
        <c:gapWidth val="69"/>
        <c:axId val="1057831503"/>
        <c:axId val="1057831983"/>
      </c:barChart>
      <c:catAx>
        <c:axId val="10578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1" i="0" u="none" strike="noStrike" kern="1200" baseline="0">
                <a:solidFill>
                  <a:schemeClr val="tx1"/>
                </a:solidFill>
                <a:latin typeface="+mn-lt"/>
                <a:ea typeface="+mn-ea"/>
                <a:cs typeface="+mn-cs"/>
              </a:defRPr>
            </a:pPr>
            <a:endParaRPr lang="en-US"/>
          </a:p>
        </c:txPr>
        <c:crossAx val="1057831983"/>
        <c:crosses val="autoZero"/>
        <c:auto val="1"/>
        <c:lblAlgn val="ctr"/>
        <c:lblOffset val="100"/>
        <c:noMultiLvlLbl val="0"/>
      </c:catAx>
      <c:valAx>
        <c:axId val="1057831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05783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6E6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Bank Project.xlsx]RISK vs ATTRITION!PivotTable8</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'RISK vs ATTRITION'!$B$4:$B$5</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vs ATTRITION'!$A$6:$A$9</c:f>
              <c:strCache>
                <c:ptCount val="3"/>
                <c:pt idx="0">
                  <c:v>Medium</c:v>
                </c:pt>
                <c:pt idx="1">
                  <c:v>Low</c:v>
                </c:pt>
                <c:pt idx="2">
                  <c:v>High</c:v>
                </c:pt>
              </c:strCache>
            </c:strRef>
          </c:cat>
          <c:val>
            <c:numRef>
              <c:f>'RISK vs ATTRITION'!$B$6:$B$9</c:f>
              <c:numCache>
                <c:formatCode>General</c:formatCode>
                <c:ptCount val="3"/>
                <c:pt idx="0">
                  <c:v>27</c:v>
                </c:pt>
                <c:pt idx="1">
                  <c:v>70</c:v>
                </c:pt>
                <c:pt idx="2">
                  <c:v>9</c:v>
                </c:pt>
              </c:numCache>
            </c:numRef>
          </c:val>
          <c:extLst>
            <c:ext xmlns:c16="http://schemas.microsoft.com/office/drawing/2014/chart" uri="{C3380CC4-5D6E-409C-BE32-E72D297353CC}">
              <c16:uniqueId val="{00000000-879F-46C3-AD33-1641B4458CD0}"/>
            </c:ext>
          </c:extLst>
        </c:ser>
        <c:ser>
          <c:idx val="1"/>
          <c:order val="1"/>
          <c:tx>
            <c:strRef>
              <c:f>'RISK vs ATTRITION'!$C$4:$C$5</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'RISK vs ATTRITION'!$A$6:$A$9</c:f>
              <c:strCache>
                <c:ptCount val="3"/>
                <c:pt idx="0">
                  <c:v>Medium</c:v>
                </c:pt>
                <c:pt idx="1">
                  <c:v>Low</c:v>
                </c:pt>
                <c:pt idx="2">
                  <c:v>High</c:v>
                </c:pt>
              </c:strCache>
            </c:strRef>
          </c:cat>
          <c:val>
            <c:numRef>
              <c:f>'RISK vs ATTRITION'!$C$6:$C$9</c:f>
              <c:numCache>
                <c:formatCode>General</c:formatCode>
                <c:ptCount val="3"/>
                <c:pt idx="0">
                  <c:v>9</c:v>
                </c:pt>
                <c:pt idx="1">
                  <c:v>6</c:v>
                </c:pt>
                <c:pt idx="2">
                  <c:v>8</c:v>
                </c:pt>
              </c:numCache>
            </c:numRef>
          </c:val>
          <c:extLst>
            <c:ext xmlns:c16="http://schemas.microsoft.com/office/drawing/2014/chart" uri="{C3380CC4-5D6E-409C-BE32-E72D297353CC}">
              <c16:uniqueId val="{00000000-002C-4F68-AF96-06E179FA0020}"/>
            </c:ext>
          </c:extLst>
        </c:ser>
        <c:dLbls>
          <c:dLblPos val="outEnd"/>
          <c:showLegendKey val="0"/>
          <c:showVal val="1"/>
          <c:showCatName val="0"/>
          <c:showSerName val="0"/>
          <c:showPercent val="0"/>
          <c:showBubbleSize val="0"/>
        </c:dLbls>
        <c:gapWidth val="219"/>
        <c:overlap val="-27"/>
        <c:axId val="880010463"/>
        <c:axId val="880010943"/>
      </c:barChart>
      <c:catAx>
        <c:axId val="88001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880010943"/>
        <c:crosses val="autoZero"/>
        <c:auto val="1"/>
        <c:lblAlgn val="ctr"/>
        <c:lblOffset val="100"/>
        <c:noMultiLvlLbl val="0"/>
      </c:catAx>
      <c:valAx>
        <c:axId val="880010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88001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6350</xdr:rowOff>
    </xdr:from>
    <xdr:to>
      <xdr:col>28</xdr:col>
      <xdr:colOff>309755</xdr:colOff>
      <xdr:row>5</xdr:row>
      <xdr:rowOff>0</xdr:rowOff>
    </xdr:to>
    <xdr:sp macro="" textlink="">
      <xdr:nvSpPr>
        <xdr:cNvPr id="2" name="Rectangle 1">
          <a:extLst>
            <a:ext uri="{FF2B5EF4-FFF2-40B4-BE49-F238E27FC236}">
              <a16:creationId xmlns:a16="http://schemas.microsoft.com/office/drawing/2014/main" id="{4955BCB0-5D04-4A77-6B9B-9E29CE054481}"/>
            </a:ext>
          </a:extLst>
        </xdr:cNvPr>
        <xdr:cNvSpPr/>
      </xdr:nvSpPr>
      <xdr:spPr>
        <a:xfrm>
          <a:off x="0" y="6350"/>
          <a:ext cx="17222438" cy="922918"/>
        </a:xfrm>
        <a:prstGeom prst="rect">
          <a:avLst/>
        </a:prstGeom>
        <a:solidFill>
          <a:srgbClr val="1F4E78"/>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19050</xdr:colOff>
      <xdr:row>5</xdr:row>
      <xdr:rowOff>6350</xdr:rowOff>
    </xdr:from>
    <xdr:to>
      <xdr:col>28</xdr:col>
      <xdr:colOff>278780</xdr:colOff>
      <xdr:row>45</xdr:row>
      <xdr:rowOff>19243</xdr:rowOff>
    </xdr:to>
    <xdr:sp macro="" textlink="">
      <xdr:nvSpPr>
        <xdr:cNvPr id="3" name="Rectangle 2">
          <a:extLst>
            <a:ext uri="{FF2B5EF4-FFF2-40B4-BE49-F238E27FC236}">
              <a16:creationId xmlns:a16="http://schemas.microsoft.com/office/drawing/2014/main" id="{BBAB3F1A-5401-9D13-6178-FA572615B751}"/>
            </a:ext>
          </a:extLst>
        </xdr:cNvPr>
        <xdr:cNvSpPr/>
      </xdr:nvSpPr>
      <xdr:spPr>
        <a:xfrm>
          <a:off x="19050" y="935618"/>
          <a:ext cx="17172413" cy="7447040"/>
        </a:xfrm>
        <a:prstGeom prst="rect">
          <a:avLst/>
        </a:prstGeom>
        <a:solidFill>
          <a:srgbClr val="FFFFFF"/>
        </a:solidFill>
        <a:ln>
          <a:no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294269</xdr:colOff>
      <xdr:row>0</xdr:row>
      <xdr:rowOff>31750</xdr:rowOff>
    </xdr:from>
    <xdr:to>
      <xdr:col>18</xdr:col>
      <xdr:colOff>546100</xdr:colOff>
      <xdr:row>4</xdr:row>
      <xdr:rowOff>114300</xdr:rowOff>
    </xdr:to>
    <xdr:sp macro="" textlink="">
      <xdr:nvSpPr>
        <xdr:cNvPr id="4" name="TextBox 3">
          <a:extLst>
            <a:ext uri="{FF2B5EF4-FFF2-40B4-BE49-F238E27FC236}">
              <a16:creationId xmlns:a16="http://schemas.microsoft.com/office/drawing/2014/main" id="{753D8642-1EDE-E2A5-6FF8-F47FEAC5CA3E}"/>
            </a:ext>
          </a:extLst>
        </xdr:cNvPr>
        <xdr:cNvSpPr txBox="1"/>
      </xdr:nvSpPr>
      <xdr:spPr>
        <a:xfrm>
          <a:off x="898293" y="31750"/>
          <a:ext cx="10520246" cy="825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0">
              <a:solidFill>
                <a:srgbClr val="FFFFFF"/>
              </a:solidFill>
              <a:latin typeface="Amasis MT Pro" panose="02040504050005020304" pitchFamily="18" charset="0"/>
              <a:cs typeface="Aldhabi" panose="020F0502020204030204" pitchFamily="2" charset="-78"/>
            </a:rPr>
            <a:t>HR ANALYTICS DASHBOARD</a:t>
          </a:r>
        </a:p>
      </xdr:txBody>
    </xdr:sp>
    <xdr:clientData/>
  </xdr:twoCellAnchor>
  <xdr:twoCellAnchor editAs="absolute">
    <xdr:from>
      <xdr:col>0</xdr:col>
      <xdr:colOff>185854</xdr:colOff>
      <xdr:row>6</xdr:row>
      <xdr:rowOff>694</xdr:rowOff>
    </xdr:from>
    <xdr:to>
      <xdr:col>12</xdr:col>
      <xdr:colOff>61951</xdr:colOff>
      <xdr:row>23</xdr:row>
      <xdr:rowOff>161917</xdr:rowOff>
    </xdr:to>
    <xdr:graphicFrame macro="">
      <xdr:nvGraphicFramePr>
        <xdr:cNvPr id="5" name="Chart 4">
          <a:extLst>
            <a:ext uri="{FF2B5EF4-FFF2-40B4-BE49-F238E27FC236}">
              <a16:creationId xmlns:a16="http://schemas.microsoft.com/office/drawing/2014/main" id="{6D8FD021-E6F3-4A79-9636-CBBD80E5E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179146</xdr:colOff>
      <xdr:row>25</xdr:row>
      <xdr:rowOff>8659</xdr:rowOff>
    </xdr:from>
    <xdr:to>
      <xdr:col>12</xdr:col>
      <xdr:colOff>92927</xdr:colOff>
      <xdr:row>44</xdr:row>
      <xdr:rowOff>108415</xdr:rowOff>
    </xdr:to>
    <xdr:graphicFrame macro="">
      <xdr:nvGraphicFramePr>
        <xdr:cNvPr id="6" name="Chart 5">
          <a:extLst>
            <a:ext uri="{FF2B5EF4-FFF2-40B4-BE49-F238E27FC236}">
              <a16:creationId xmlns:a16="http://schemas.microsoft.com/office/drawing/2014/main" id="{648D761B-DED6-4301-BCC1-98808619D6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418171</xdr:colOff>
      <xdr:row>5</xdr:row>
      <xdr:rowOff>123629</xdr:rowOff>
    </xdr:from>
    <xdr:to>
      <xdr:col>24</xdr:col>
      <xdr:colOff>109665</xdr:colOff>
      <xdr:row>23</xdr:row>
      <xdr:rowOff>97423</xdr:rowOff>
    </xdr:to>
    <xdr:graphicFrame macro="">
      <xdr:nvGraphicFramePr>
        <xdr:cNvPr id="7" name="Chart 6">
          <a:extLst>
            <a:ext uri="{FF2B5EF4-FFF2-40B4-BE49-F238E27FC236}">
              <a16:creationId xmlns:a16="http://schemas.microsoft.com/office/drawing/2014/main" id="{1667A40E-5FE5-46B4-9ACE-6CD82AC67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12</xdr:col>
      <xdr:colOff>433662</xdr:colOff>
      <xdr:row>25</xdr:row>
      <xdr:rowOff>10242</xdr:rowOff>
    </xdr:from>
    <xdr:to>
      <xdr:col>24</xdr:col>
      <xdr:colOff>30980</xdr:colOff>
      <xdr:row>43</xdr:row>
      <xdr:rowOff>166076</xdr:rowOff>
    </xdr:to>
    <xdr:graphicFrame macro="">
      <xdr:nvGraphicFramePr>
        <xdr:cNvPr id="8" name="Chart 7">
          <a:extLst>
            <a:ext uri="{FF2B5EF4-FFF2-40B4-BE49-F238E27FC236}">
              <a16:creationId xmlns:a16="http://schemas.microsoft.com/office/drawing/2014/main" id="{881520EB-820C-4205-BE52-F5239473FE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484366</xdr:colOff>
      <xdr:row>0</xdr:row>
      <xdr:rowOff>0</xdr:rowOff>
    </xdr:from>
    <xdr:to>
      <xdr:col>4</xdr:col>
      <xdr:colOff>180225</xdr:colOff>
      <xdr:row>4</xdr:row>
      <xdr:rowOff>176981</xdr:rowOff>
    </xdr:to>
    <xdr:pic>
      <xdr:nvPicPr>
        <xdr:cNvPr id="10" name="Graphic 9" descr="Bar graph with downward trend with solid fill">
          <a:extLst>
            <a:ext uri="{FF2B5EF4-FFF2-40B4-BE49-F238E27FC236}">
              <a16:creationId xmlns:a16="http://schemas.microsoft.com/office/drawing/2014/main" id="{25285BD1-D81F-48CD-7933-1FAF9DC2230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92415" y="0"/>
          <a:ext cx="903908" cy="920396"/>
        </a:xfrm>
        <a:prstGeom prst="rect">
          <a:avLst/>
        </a:prstGeom>
      </xdr:spPr>
    </xdr:pic>
    <xdr:clientData/>
  </xdr:twoCellAnchor>
  <xdr:twoCellAnchor editAs="absolute">
    <xdr:from>
      <xdr:col>24</xdr:col>
      <xdr:colOff>315254</xdr:colOff>
      <xdr:row>5</xdr:row>
      <xdr:rowOff>92178</xdr:rowOff>
    </xdr:from>
    <xdr:to>
      <xdr:col>28</xdr:col>
      <xdr:colOff>161623</xdr:colOff>
      <xdr:row>23</xdr:row>
      <xdr:rowOff>61452</xdr:rowOff>
    </xdr:to>
    <mc:AlternateContent xmlns:mc="http://schemas.openxmlformats.org/markup-compatibility/2006">
      <mc:Choice xmlns:a14="http://schemas.microsoft.com/office/drawing/2010/main" Requires="a14">
        <xdr:graphicFrame macro="">
          <xdr:nvGraphicFramePr>
            <xdr:cNvPr id="11" name="JobRole">
              <a:extLst>
                <a:ext uri="{FF2B5EF4-FFF2-40B4-BE49-F238E27FC236}">
                  <a16:creationId xmlns:a16="http://schemas.microsoft.com/office/drawing/2014/main" id="{D929E8CB-C098-4B3A-AA9E-197EE7BD2E4A}"/>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4811839" y="1021446"/>
              <a:ext cx="2262467" cy="3314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24</xdr:col>
      <xdr:colOff>252801</xdr:colOff>
      <xdr:row>24</xdr:row>
      <xdr:rowOff>19235</xdr:rowOff>
    </xdr:from>
    <xdr:to>
      <xdr:col>28</xdr:col>
      <xdr:colOff>109663</xdr:colOff>
      <xdr:row>42</xdr:row>
      <xdr:rowOff>174361</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BDBE6B39-0636-416C-AF78-2B525993BDB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4749386" y="4479723"/>
              <a:ext cx="2272960" cy="3500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599225</xdr:colOff>
      <xdr:row>7</xdr:row>
      <xdr:rowOff>12700</xdr:rowOff>
    </xdr:from>
    <xdr:to>
      <xdr:col>1</xdr:col>
      <xdr:colOff>4559300</xdr:colOff>
      <xdr:row>17</xdr:row>
      <xdr:rowOff>177800</xdr:rowOff>
    </xdr:to>
    <xdr:sp macro="" textlink="">
      <xdr:nvSpPr>
        <xdr:cNvPr id="3" name="Speech Bubble: Rectangle 2">
          <a:extLst>
            <a:ext uri="{FF2B5EF4-FFF2-40B4-BE49-F238E27FC236}">
              <a16:creationId xmlns:a16="http://schemas.microsoft.com/office/drawing/2014/main" id="{F573CFDA-F631-4EE6-74F7-B7586A1A450B}"/>
            </a:ext>
          </a:extLst>
        </xdr:cNvPr>
        <xdr:cNvSpPr/>
      </xdr:nvSpPr>
      <xdr:spPr>
        <a:xfrm>
          <a:off x="599225" y="1327418"/>
          <a:ext cx="4568244" cy="2043269"/>
        </a:xfrm>
        <a:prstGeom prst="wedgeRectCallout">
          <a:avLst>
            <a:gd name="adj1" fmla="val -38410"/>
            <a:gd name="adj2" fmla="val 94358"/>
          </a:avLst>
        </a:prstGeom>
        <a:solidFill>
          <a:srgbClr val="D9E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27101</xdr:colOff>
      <xdr:row>7</xdr:row>
      <xdr:rowOff>152400</xdr:rowOff>
    </xdr:from>
    <xdr:to>
      <xdr:col>1</xdr:col>
      <xdr:colOff>4394470</xdr:colOff>
      <xdr:row>17</xdr:row>
      <xdr:rowOff>107950</xdr:rowOff>
    </xdr:to>
    <xdr:sp macro="" textlink="">
      <xdr:nvSpPr>
        <xdr:cNvPr id="4" name="TextBox 3">
          <a:extLst>
            <a:ext uri="{FF2B5EF4-FFF2-40B4-BE49-F238E27FC236}">
              <a16:creationId xmlns:a16="http://schemas.microsoft.com/office/drawing/2014/main" id="{10E116FB-A999-F167-D224-082A56C7AEB7}"/>
            </a:ext>
          </a:extLst>
        </xdr:cNvPr>
        <xdr:cNvSpPr txBox="1"/>
      </xdr:nvSpPr>
      <xdr:spPr>
        <a:xfrm>
          <a:off x="635270" y="1467118"/>
          <a:ext cx="4367369" cy="1833719"/>
        </a:xfrm>
        <a:prstGeom prst="rect">
          <a:avLst/>
        </a:prstGeom>
        <a:solidFill>
          <a:srgbClr val="D9EA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1">
              <a:solidFill>
                <a:schemeClr val="tx1"/>
              </a:solidFill>
            </a:rPr>
            <a:t>1. High-risk employees show higher attrition, proving the risk model is effective.</a:t>
          </a:r>
        </a:p>
        <a:p>
          <a:pPr algn="l"/>
          <a:r>
            <a:rPr lang="en-IN" sz="1400" b="1" i="1">
              <a:solidFill>
                <a:schemeClr val="tx1"/>
              </a:solidFill>
            </a:rPr>
            <a:t>2. Departments with lower salaries have higher employee turnover.</a:t>
          </a:r>
        </a:p>
        <a:p>
          <a:pPr algn="l"/>
          <a:r>
            <a:rPr lang="en-IN" sz="1400" b="1" i="1">
              <a:solidFill>
                <a:schemeClr val="tx1"/>
              </a:solidFill>
            </a:rPr>
            <a:t>3. Employees working overtime are more likely to leave, indicating burnout risk.</a:t>
          </a:r>
        </a:p>
        <a:p>
          <a:pPr algn="l"/>
          <a:endParaRPr lang="en-IN" sz="1800" b="1">
            <a:solidFill>
              <a:schemeClr val="bg1">
                <a:lumMod val="95000"/>
              </a:schemeClr>
            </a:solidFill>
          </a:endParaRPr>
        </a:p>
      </xdr:txBody>
    </xdr:sp>
    <xdr:clientData/>
  </xdr:twoCellAnchor>
  <xdr:twoCellAnchor>
    <xdr:from>
      <xdr:col>3</xdr:col>
      <xdr:colOff>19050</xdr:colOff>
      <xdr:row>7</xdr:row>
      <xdr:rowOff>0</xdr:rowOff>
    </xdr:from>
    <xdr:to>
      <xdr:col>6</xdr:col>
      <xdr:colOff>17887</xdr:colOff>
      <xdr:row>17</xdr:row>
      <xdr:rowOff>165100</xdr:rowOff>
    </xdr:to>
    <xdr:sp macro="" textlink="">
      <xdr:nvSpPr>
        <xdr:cNvPr id="5" name="Speech Bubble: Rectangle 4">
          <a:extLst>
            <a:ext uri="{FF2B5EF4-FFF2-40B4-BE49-F238E27FC236}">
              <a16:creationId xmlns:a16="http://schemas.microsoft.com/office/drawing/2014/main" id="{85E16F6B-819C-4D1B-91B4-0A6FAA6E3974}"/>
            </a:ext>
          </a:extLst>
        </xdr:cNvPr>
        <xdr:cNvSpPr/>
      </xdr:nvSpPr>
      <xdr:spPr>
        <a:xfrm>
          <a:off x="5823487" y="1314718"/>
          <a:ext cx="4658485" cy="2043269"/>
        </a:xfrm>
        <a:prstGeom prst="wedgeRectCallout">
          <a:avLst>
            <a:gd name="adj1" fmla="val 40818"/>
            <a:gd name="adj2" fmla="val 83915"/>
          </a:avLst>
        </a:prstGeom>
        <a:solidFill>
          <a:srgbClr val="D9E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209550</xdr:colOff>
      <xdr:row>7</xdr:row>
      <xdr:rowOff>147745</xdr:rowOff>
    </xdr:from>
    <xdr:to>
      <xdr:col>5</xdr:col>
      <xdr:colOff>527050</xdr:colOff>
      <xdr:row>15</xdr:row>
      <xdr:rowOff>98380</xdr:rowOff>
    </xdr:to>
    <xdr:sp macro="" textlink="">
      <xdr:nvSpPr>
        <xdr:cNvPr id="6" name="TextBox 5">
          <a:extLst>
            <a:ext uri="{FF2B5EF4-FFF2-40B4-BE49-F238E27FC236}">
              <a16:creationId xmlns:a16="http://schemas.microsoft.com/office/drawing/2014/main" id="{6879BCFB-1BC8-476D-986D-01CB6A5BA3B9}"/>
            </a:ext>
          </a:extLst>
        </xdr:cNvPr>
        <xdr:cNvSpPr txBox="1"/>
      </xdr:nvSpPr>
      <xdr:spPr>
        <a:xfrm>
          <a:off x="6013987" y="1462463"/>
          <a:ext cx="4368978" cy="1453171"/>
        </a:xfrm>
        <a:prstGeom prst="rect">
          <a:avLst/>
        </a:prstGeom>
        <a:solidFill>
          <a:srgbClr val="D9EA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400" b="1" i="1">
              <a:solidFill>
                <a:schemeClr val="tx1"/>
              </a:solidFill>
              <a:latin typeface="+mn-lt"/>
              <a:ea typeface="+mn-ea"/>
              <a:cs typeface="+mn-cs"/>
            </a:rPr>
            <a:t>1. Increase salary for underpaid employees to reduce attrition.</a:t>
          </a:r>
        </a:p>
        <a:p>
          <a:pPr marL="0" indent="0" algn="l"/>
          <a:r>
            <a:rPr lang="en-IN" sz="1400" b="1" i="1">
              <a:solidFill>
                <a:schemeClr val="tx1"/>
              </a:solidFill>
              <a:latin typeface="+mn-lt"/>
              <a:ea typeface="+mn-ea"/>
              <a:cs typeface="+mn-cs"/>
            </a:rPr>
            <a:t>2. Reduce overtime workload to improve work-life balance.</a:t>
          </a:r>
        </a:p>
        <a:p>
          <a:pPr marL="0" indent="0" algn="l"/>
          <a:r>
            <a:rPr lang="en-IN" sz="1400" b="1" i="1">
              <a:solidFill>
                <a:schemeClr val="tx1"/>
              </a:solidFill>
              <a:latin typeface="+mn-lt"/>
              <a:ea typeface="+mn-ea"/>
              <a:cs typeface="+mn-cs"/>
            </a:rPr>
            <a:t>3. Focus retention strategies on high-risk employees.</a:t>
          </a:r>
        </a:p>
        <a:p>
          <a:pPr marL="0" indent="0" algn="l"/>
          <a:endParaRPr lang="en-IN" sz="1400" b="1" i="1">
            <a:solidFill>
              <a:schemeClr val="tx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219075</xdr:colOff>
      <xdr:row>1</xdr:row>
      <xdr:rowOff>76200</xdr:rowOff>
    </xdr:from>
    <xdr:to>
      <xdr:col>11</xdr:col>
      <xdr:colOff>269875</xdr:colOff>
      <xdr:row>16</xdr:row>
      <xdr:rowOff>57150</xdr:rowOff>
    </xdr:to>
    <xdr:graphicFrame macro="">
      <xdr:nvGraphicFramePr>
        <xdr:cNvPr id="2" name="Chart 1">
          <a:extLst>
            <a:ext uri="{FF2B5EF4-FFF2-40B4-BE49-F238E27FC236}">
              <a16:creationId xmlns:a16="http://schemas.microsoft.com/office/drawing/2014/main" id="{647ADE96-D67D-D566-9682-E16134910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69850</xdr:colOff>
      <xdr:row>10</xdr:row>
      <xdr:rowOff>6350</xdr:rowOff>
    </xdr:from>
    <xdr:to>
      <xdr:col>3</xdr:col>
      <xdr:colOff>647700</xdr:colOff>
      <xdr:row>15</xdr:row>
      <xdr:rowOff>0</xdr:rowOff>
    </xdr:to>
    <xdr:sp macro="" textlink="">
      <xdr:nvSpPr>
        <xdr:cNvPr id="3" name="Rectangle: Rounded Corners 2">
          <a:extLst>
            <a:ext uri="{FF2B5EF4-FFF2-40B4-BE49-F238E27FC236}">
              <a16:creationId xmlns:a16="http://schemas.microsoft.com/office/drawing/2014/main" id="{21271199-6450-B880-6149-46B0B3BC592C}"/>
            </a:ext>
          </a:extLst>
        </xdr:cNvPr>
        <xdr:cNvSpPr/>
      </xdr:nvSpPr>
      <xdr:spPr>
        <a:xfrm>
          <a:off x="69850" y="1847850"/>
          <a:ext cx="2882900" cy="914400"/>
        </a:xfrm>
        <a:prstGeom prst="roundRect">
          <a:avLst/>
        </a:prstGeom>
        <a:solidFill>
          <a:srgbClr val="D9EA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304800</xdr:colOff>
      <xdr:row>10</xdr:row>
      <xdr:rowOff>177800</xdr:rowOff>
    </xdr:from>
    <xdr:to>
      <xdr:col>3</xdr:col>
      <xdr:colOff>400050</xdr:colOff>
      <xdr:row>13</xdr:row>
      <xdr:rowOff>101600</xdr:rowOff>
    </xdr:to>
    <xdr:sp macro="" textlink="">
      <xdr:nvSpPr>
        <xdr:cNvPr id="4" name="TextBox 3">
          <a:extLst>
            <a:ext uri="{FF2B5EF4-FFF2-40B4-BE49-F238E27FC236}">
              <a16:creationId xmlns:a16="http://schemas.microsoft.com/office/drawing/2014/main" id="{564AD99D-4028-00D9-C837-2D7B3A59A7A8}"/>
            </a:ext>
          </a:extLst>
        </xdr:cNvPr>
        <xdr:cNvSpPr txBox="1"/>
      </xdr:nvSpPr>
      <xdr:spPr>
        <a:xfrm>
          <a:off x="304800" y="2019300"/>
          <a:ext cx="2400300" cy="476250"/>
        </a:xfrm>
        <a:prstGeom prst="rect">
          <a:avLst/>
        </a:prstGeom>
        <a:solidFill>
          <a:srgbClr val="D9EAF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0" cap="none" spc="50">
              <a:ln w="0"/>
              <a:solidFill>
                <a:schemeClr val="tx1"/>
              </a:solidFill>
              <a:effectLst>
                <a:innerShdw blurRad="63500" dist="50800" dir="13500000">
                  <a:srgbClr val="000000">
                    <a:alpha val="50000"/>
                  </a:srgbClr>
                </a:innerShdw>
              </a:effectLst>
              <a:latin typeface="Amasis MT Pro" panose="02040504050005020304" pitchFamily="18" charset="0"/>
            </a:rPr>
            <a:t>Risk Mode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di roshitha" refreshedDate="46101.821284375001" createdVersion="8" refreshedVersion="8" minRefreshableVersion="3" recordCount="129" xr:uid="{F96AE3C6-DEF9-455A-89D5-44E85D210BB5}">
  <cacheSource type="worksheet">
    <worksheetSource name="Table1"/>
  </cacheSource>
  <cacheFields count="35">
    <cacheField name="Employee ID" numFmtId="0">
      <sharedItems/>
    </cacheField>
    <cacheField name="Age" numFmtId="0">
      <sharedItems containsSemiMixedTypes="0" containsString="0" containsNumber="1" containsInteger="1" minValue="19" maxValue="59"/>
    </cacheField>
    <cacheField name="Attrition" numFmtId="0">
      <sharedItems containsBlank="1" count="3">
        <s v="Yes"/>
        <s v="No"/>
        <m u="1"/>
      </sharedItems>
    </cacheField>
    <cacheField name="BusinessTravel" numFmtId="0">
      <sharedItems/>
    </cacheField>
    <cacheField name="Department" numFmtId="0">
      <sharedItems containsBlank="1" count="6">
        <s v="Retail Banking"/>
        <s v="Risk"/>
        <s v="Operations"/>
        <s v="Risk " u="1"/>
        <s v="Risk Analyst" u="1"/>
        <m u="1"/>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nvironmentSatisfaction" numFmtId="0">
      <sharedItems containsSemiMixedTypes="0" containsString="0" containsNumber="1" containsInteger="1" minValue="1" maxValue="4"/>
    </cacheField>
    <cacheField name="Gender" numFmtId="0">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3">
        <s v="Relationship Manager"/>
        <s v="Risk Analyst"/>
        <s v="Branch Manager"/>
      </sharedItems>
    </cacheField>
    <cacheField name="JobSatisfaction" numFmtId="0">
      <sharedItems containsSemiMixedTypes="0" containsString="0" containsNumber="1" containsInteger="1" minValue="1" maxValue="4"/>
    </cacheField>
    <cacheField name="MaritalStatus" numFmtId="0">
      <sharedItems/>
    </cacheField>
    <cacheField name="Bank Unit" numFmtId="0">
      <sharedItems/>
    </cacheField>
    <cacheField name="Location" numFmtId="0">
      <sharedItems/>
    </cacheField>
    <cacheField name="Risk Score" numFmtId="0">
      <sharedItems containsNonDate="0" containsString="0" containsBlank="1"/>
    </cacheField>
    <cacheField name="Salary" numFmtId="164">
      <sharedItems containsSemiMixedTypes="0" containsString="0" containsNumber="1" containsInteger="1" minValue="1232" maxValue="19545"/>
    </cacheField>
    <cacheField name="NumCompaniesWorked" numFmtId="0">
      <sharedItems containsSemiMixedTypes="0" containsString="0" containsNumber="1" containsInteger="1" minValue="0" maxValue="9"/>
    </cacheField>
    <cacheField name="OverTime" numFmtId="0">
      <sharedItems/>
    </cacheField>
    <cacheField name="PerformanceRating" numFmtId="0">
      <sharedItems containsSemiMixedTypes="0" containsString="0" containsNumber="1" containsInteger="1" minValue="1" maxValue="4" count="4">
        <n v="3"/>
        <n v="4"/>
        <n v="1"/>
        <n v="2"/>
      </sharedItems>
    </cacheField>
    <cacheField name="TotalExperience"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Tenure"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Branch Manager" numFmtId="0">
      <sharedItems containsSemiMixedTypes="0" containsString="0" containsNumber="1" containsInteger="1" minValue="0" maxValue="17"/>
    </cacheField>
    <cacheField name="Risk_Salary" numFmtId="0">
      <sharedItems containsSemiMixedTypes="0" containsString="0" containsNumber="1" containsInteger="1" minValue="0" maxValue="2"/>
    </cacheField>
    <cacheField name="Risk_Tenure" numFmtId="0">
      <sharedItems containsSemiMixedTypes="0" containsString="0" containsNumber="1" containsInteger="1" minValue="0" maxValue="2"/>
    </cacheField>
    <cacheField name="Risk_Performance" numFmtId="0">
      <sharedItems containsSemiMixedTypes="0" containsString="0" containsNumber="1" containsInteger="1" minValue="0" maxValue="3"/>
    </cacheField>
    <cacheField name="Risk_Overtime" numFmtId="0">
      <sharedItems containsSemiMixedTypes="0" containsString="0" containsNumber="1" containsInteger="1" minValue="0" maxValue="2"/>
    </cacheField>
    <cacheField name="Total_Risk_Score" numFmtId="0">
      <sharedItems containsSemiMixedTypes="0" containsString="0" containsNumber="1" containsInteger="1" minValue="0" maxValue="7"/>
    </cacheField>
    <cacheField name="Risk_Category" numFmtId="0">
      <sharedItems containsBlank="1" count="4">
        <s v="Medium"/>
        <s v="Low"/>
        <s v="High"/>
        <m u="1"/>
      </sharedItems>
    </cacheField>
  </cacheFields>
  <extLst>
    <ext xmlns:x14="http://schemas.microsoft.com/office/spreadsheetml/2009/9/main" uri="{725AE2AE-9491-48be-B2B4-4EB974FC3084}">
      <x14:pivotCacheDefinition pivotCacheId="1363987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s v="E001"/>
    <n v="41"/>
    <x v="0"/>
    <s v="Travel_Rarely"/>
    <x v="0"/>
    <n v="1"/>
    <n v="2"/>
    <s v="Life Sciences"/>
    <n v="2"/>
    <s v="Female"/>
    <n v="3"/>
    <n v="2"/>
    <x v="0"/>
    <n v="4"/>
    <s v="Single"/>
    <s v="Retail Banking"/>
    <s v="Mumbai"/>
    <m/>
    <n v="5993"/>
    <n v="8"/>
    <s v="Yes"/>
    <x v="0"/>
    <n v="8"/>
    <n v="0"/>
    <n v="1"/>
    <n v="6"/>
    <n v="4"/>
    <n v="0"/>
    <n v="5"/>
    <n v="2"/>
    <n v="0"/>
    <n v="0"/>
    <n v="2"/>
    <n v="4"/>
    <x v="0"/>
  </r>
  <r>
    <s v="E002"/>
    <n v="49"/>
    <x v="1"/>
    <s v="Travel_Frequently"/>
    <x v="1"/>
    <n v="8"/>
    <n v="1"/>
    <s v="Life Sciences"/>
    <n v="3"/>
    <s v="Male"/>
    <n v="2"/>
    <n v="2"/>
    <x v="0"/>
    <n v="2"/>
    <s v="Married"/>
    <s v="Risk"/>
    <s v="Bangalore"/>
    <m/>
    <n v="5130"/>
    <n v="1"/>
    <s v="No"/>
    <x v="1"/>
    <n v="10"/>
    <n v="3"/>
    <n v="3"/>
    <n v="10"/>
    <n v="7"/>
    <n v="1"/>
    <n v="7"/>
    <n v="2"/>
    <n v="0"/>
    <n v="0"/>
    <n v="0"/>
    <n v="2"/>
    <x v="1"/>
  </r>
  <r>
    <s v="E003"/>
    <n v="37"/>
    <x v="0"/>
    <s v="Travel_Rarely"/>
    <x v="1"/>
    <n v="2"/>
    <n v="2"/>
    <s v="Other"/>
    <n v="4"/>
    <s v="Male"/>
    <n v="2"/>
    <n v="1"/>
    <x v="0"/>
    <n v="3"/>
    <s v="Single"/>
    <s v="Corporate Banking"/>
    <s v="Delhi"/>
    <m/>
    <n v="2090"/>
    <n v="6"/>
    <s v="Yes"/>
    <x v="0"/>
    <n v="7"/>
    <n v="3"/>
    <n v="3"/>
    <n v="0"/>
    <n v="0"/>
    <n v="0"/>
    <n v="0"/>
    <n v="2"/>
    <n v="0"/>
    <n v="0"/>
    <n v="2"/>
    <n v="4"/>
    <x v="0"/>
  </r>
  <r>
    <s v="E004"/>
    <n v="33"/>
    <x v="1"/>
    <s v="Travel_Frequently"/>
    <x v="1"/>
    <n v="3"/>
    <n v="4"/>
    <s v="Life Sciences"/>
    <n v="4"/>
    <s v="Female"/>
    <n v="3"/>
    <n v="1"/>
    <x v="0"/>
    <n v="3"/>
    <s v="Married"/>
    <s v="Retail Banking"/>
    <s v="Hyderabad"/>
    <m/>
    <n v="2909"/>
    <n v="1"/>
    <s v="Yes"/>
    <x v="2"/>
    <n v="8"/>
    <n v="3"/>
    <n v="3"/>
    <n v="8"/>
    <n v="7"/>
    <n v="3"/>
    <n v="0"/>
    <n v="2"/>
    <n v="0"/>
    <n v="3"/>
    <n v="2"/>
    <n v="7"/>
    <x v="2"/>
  </r>
  <r>
    <s v="E005"/>
    <n v="27"/>
    <x v="1"/>
    <s v="Travel_Rarely"/>
    <x v="1"/>
    <n v="2"/>
    <n v="1"/>
    <s v="Medical"/>
    <n v="1"/>
    <s v="Male"/>
    <n v="3"/>
    <n v="1"/>
    <x v="0"/>
    <n v="2"/>
    <s v="Married"/>
    <s v="Retail Banking"/>
    <s v="Bangalore"/>
    <m/>
    <n v="3468"/>
    <n v="9"/>
    <s v="No"/>
    <x v="0"/>
    <n v="6"/>
    <n v="3"/>
    <n v="3"/>
    <n v="2"/>
    <n v="2"/>
    <n v="2"/>
    <n v="2"/>
    <n v="2"/>
    <n v="2"/>
    <n v="0"/>
    <n v="0"/>
    <n v="4"/>
    <x v="0"/>
  </r>
  <r>
    <s v="E006"/>
    <n v="32"/>
    <x v="1"/>
    <s v="Travel_Frequently"/>
    <x v="1"/>
    <n v="2"/>
    <n v="2"/>
    <s v="Life Sciences"/>
    <n v="4"/>
    <s v="Male"/>
    <n v="3"/>
    <n v="1"/>
    <x v="0"/>
    <n v="4"/>
    <s v="Single"/>
    <s v="Corporate Banking"/>
    <s v="Bangalore"/>
    <m/>
    <n v="3068"/>
    <n v="0"/>
    <s v="No"/>
    <x v="3"/>
    <n v="8"/>
    <n v="2"/>
    <n v="2"/>
    <n v="7"/>
    <n v="7"/>
    <n v="3"/>
    <n v="6"/>
    <n v="2"/>
    <n v="0"/>
    <n v="3"/>
    <n v="0"/>
    <n v="5"/>
    <x v="0"/>
  </r>
  <r>
    <s v="E007"/>
    <n v="59"/>
    <x v="1"/>
    <s v="Travel_Rarely"/>
    <x v="1"/>
    <n v="3"/>
    <n v="3"/>
    <s v="Medical"/>
    <n v="3"/>
    <s v="Female"/>
    <n v="4"/>
    <n v="1"/>
    <x v="0"/>
    <n v="1"/>
    <s v="Married"/>
    <s v="Corporate Banking"/>
    <s v="Hyderabad"/>
    <m/>
    <n v="2670"/>
    <n v="4"/>
    <s v="Yes"/>
    <x v="1"/>
    <n v="12"/>
    <n v="3"/>
    <n v="2"/>
    <n v="1"/>
    <n v="0"/>
    <n v="0"/>
    <n v="0"/>
    <n v="2"/>
    <n v="0"/>
    <n v="0"/>
    <n v="2"/>
    <n v="4"/>
    <x v="0"/>
  </r>
  <r>
    <s v="E008"/>
    <n v="30"/>
    <x v="1"/>
    <s v="Travel_Rarely"/>
    <x v="1"/>
    <n v="24"/>
    <n v="1"/>
    <s v="Life Sciences"/>
    <n v="4"/>
    <s v="Male"/>
    <n v="3"/>
    <n v="1"/>
    <x v="0"/>
    <n v="3"/>
    <s v="Divorced"/>
    <s v="Risk"/>
    <s v="Mumbai"/>
    <m/>
    <n v="2693"/>
    <n v="1"/>
    <s v="No"/>
    <x v="1"/>
    <n v="1"/>
    <n v="2"/>
    <n v="3"/>
    <n v="1"/>
    <n v="0"/>
    <n v="0"/>
    <n v="0"/>
    <n v="2"/>
    <n v="0"/>
    <n v="0"/>
    <n v="0"/>
    <n v="2"/>
    <x v="1"/>
  </r>
  <r>
    <s v="E009"/>
    <n v="38"/>
    <x v="1"/>
    <s v="Travel_Frequently"/>
    <x v="1"/>
    <n v="23"/>
    <n v="3"/>
    <s v="Life Sciences"/>
    <n v="4"/>
    <s v="Male"/>
    <n v="2"/>
    <n v="3"/>
    <x v="1"/>
    <n v="3"/>
    <s v="Single"/>
    <s v="Risk"/>
    <s v="Bangalore"/>
    <m/>
    <n v="9526"/>
    <n v="0"/>
    <s v="No"/>
    <x v="3"/>
    <n v="10"/>
    <n v="2"/>
    <n v="3"/>
    <n v="9"/>
    <n v="7"/>
    <n v="1"/>
    <n v="8"/>
    <n v="2"/>
    <n v="0"/>
    <n v="3"/>
    <n v="0"/>
    <n v="5"/>
    <x v="0"/>
  </r>
  <r>
    <s v="E010"/>
    <n v="36"/>
    <x v="1"/>
    <s v="Travel_Rarely"/>
    <x v="1"/>
    <n v="27"/>
    <n v="3"/>
    <s v="Medical"/>
    <n v="3"/>
    <s v="Male"/>
    <n v="3"/>
    <n v="2"/>
    <x v="1"/>
    <n v="3"/>
    <s v="Married"/>
    <s v="Retail Banking"/>
    <s v="Delhi"/>
    <m/>
    <n v="5237"/>
    <n v="6"/>
    <s v="No"/>
    <x v="0"/>
    <n v="17"/>
    <n v="3"/>
    <n v="2"/>
    <n v="7"/>
    <n v="7"/>
    <n v="7"/>
    <n v="7"/>
    <n v="2"/>
    <n v="0"/>
    <n v="0"/>
    <n v="0"/>
    <n v="2"/>
    <x v="1"/>
  </r>
  <r>
    <s v="E011"/>
    <n v="35"/>
    <x v="1"/>
    <s v="Travel_Rarely"/>
    <x v="1"/>
    <n v="16"/>
    <n v="3"/>
    <s v="Medical"/>
    <n v="1"/>
    <s v="Male"/>
    <n v="4"/>
    <n v="1"/>
    <x v="0"/>
    <n v="2"/>
    <s v="Married"/>
    <s v="Corporate Banking"/>
    <s v="Hyderabad"/>
    <m/>
    <n v="2426"/>
    <n v="0"/>
    <s v="No"/>
    <x v="0"/>
    <n v="6"/>
    <n v="5"/>
    <n v="3"/>
    <n v="5"/>
    <n v="4"/>
    <n v="0"/>
    <n v="3"/>
    <n v="2"/>
    <n v="0"/>
    <n v="0"/>
    <n v="0"/>
    <n v="2"/>
    <x v="1"/>
  </r>
  <r>
    <s v="E012"/>
    <n v="29"/>
    <x v="1"/>
    <s v="Travel_Rarely"/>
    <x v="1"/>
    <n v="15"/>
    <n v="2"/>
    <s v="Life Sciences"/>
    <n v="4"/>
    <s v="Female"/>
    <n v="2"/>
    <n v="2"/>
    <x v="0"/>
    <n v="3"/>
    <s v="Single"/>
    <s v="Corporate Banking"/>
    <s v="Bangalore"/>
    <m/>
    <n v="4193"/>
    <n v="0"/>
    <s v="Yes"/>
    <x v="0"/>
    <n v="10"/>
    <n v="3"/>
    <n v="3"/>
    <n v="9"/>
    <n v="5"/>
    <n v="0"/>
    <n v="8"/>
    <n v="2"/>
    <n v="0"/>
    <n v="0"/>
    <n v="2"/>
    <n v="4"/>
    <x v="0"/>
  </r>
  <r>
    <s v="E013"/>
    <n v="31"/>
    <x v="1"/>
    <s v="Travel_Rarely"/>
    <x v="1"/>
    <n v="26"/>
    <n v="1"/>
    <s v="Life Sciences"/>
    <n v="1"/>
    <s v="Male"/>
    <n v="3"/>
    <n v="1"/>
    <x v="0"/>
    <n v="3"/>
    <s v="Divorced"/>
    <s v="Risk"/>
    <s v="Bangalore"/>
    <m/>
    <n v="2911"/>
    <n v="1"/>
    <s v="No"/>
    <x v="0"/>
    <n v="5"/>
    <n v="1"/>
    <n v="2"/>
    <n v="5"/>
    <n v="2"/>
    <n v="4"/>
    <n v="3"/>
    <n v="2"/>
    <n v="0"/>
    <n v="0"/>
    <n v="0"/>
    <n v="2"/>
    <x v="1"/>
  </r>
  <r>
    <s v="E014"/>
    <n v="34"/>
    <x v="1"/>
    <s v="Travel_Rarely"/>
    <x v="1"/>
    <n v="19"/>
    <n v="2"/>
    <s v="Medical"/>
    <n v="2"/>
    <s v="Male"/>
    <n v="3"/>
    <n v="1"/>
    <x v="0"/>
    <n v="4"/>
    <s v="Divorced"/>
    <s v="Risk"/>
    <s v="Hyderabad"/>
    <m/>
    <n v="2661"/>
    <n v="0"/>
    <s v="No"/>
    <x v="0"/>
    <n v="3"/>
    <n v="2"/>
    <n v="3"/>
    <n v="2"/>
    <n v="2"/>
    <n v="1"/>
    <n v="2"/>
    <n v="2"/>
    <n v="2"/>
    <n v="0"/>
    <n v="0"/>
    <n v="4"/>
    <x v="0"/>
  </r>
  <r>
    <s v="E015"/>
    <n v="28"/>
    <x v="0"/>
    <s v="Travel_Rarely"/>
    <x v="1"/>
    <n v="24"/>
    <n v="3"/>
    <s v="Life Sciences"/>
    <n v="3"/>
    <s v="Male"/>
    <n v="2"/>
    <n v="1"/>
    <x v="0"/>
    <n v="3"/>
    <s v="Single"/>
    <s v="Corporate Banking"/>
    <s v="Mumbai"/>
    <m/>
    <n v="2028"/>
    <n v="5"/>
    <s v="Yes"/>
    <x v="0"/>
    <n v="6"/>
    <n v="4"/>
    <n v="3"/>
    <n v="4"/>
    <n v="2"/>
    <n v="0"/>
    <n v="3"/>
    <n v="2"/>
    <n v="2"/>
    <n v="0"/>
    <n v="2"/>
    <n v="6"/>
    <x v="2"/>
  </r>
  <r>
    <s v="E016"/>
    <n v="29"/>
    <x v="1"/>
    <s v="Travel_Rarely"/>
    <x v="1"/>
    <n v="21"/>
    <n v="4"/>
    <s v="Life Sciences"/>
    <n v="2"/>
    <s v="Female"/>
    <n v="4"/>
    <n v="3"/>
    <x v="1"/>
    <n v="1"/>
    <s v="Divorced"/>
    <s v="Risk"/>
    <s v="Bangalore"/>
    <m/>
    <n v="9980"/>
    <n v="1"/>
    <s v="No"/>
    <x v="0"/>
    <n v="10"/>
    <n v="1"/>
    <n v="3"/>
    <n v="10"/>
    <n v="9"/>
    <n v="8"/>
    <n v="8"/>
    <n v="2"/>
    <n v="0"/>
    <n v="0"/>
    <n v="0"/>
    <n v="2"/>
    <x v="1"/>
  </r>
  <r>
    <s v="E017"/>
    <n v="32"/>
    <x v="1"/>
    <s v="Travel_Rarely"/>
    <x v="1"/>
    <n v="5"/>
    <n v="2"/>
    <s v="Life Sciences"/>
    <n v="1"/>
    <s v="Male"/>
    <n v="4"/>
    <n v="1"/>
    <x v="0"/>
    <n v="2"/>
    <s v="Divorced"/>
    <s v="Risk"/>
    <s v="Delhi"/>
    <m/>
    <n v="3298"/>
    <n v="0"/>
    <s v="Yes"/>
    <x v="0"/>
    <n v="7"/>
    <n v="5"/>
    <n v="2"/>
    <n v="6"/>
    <n v="2"/>
    <n v="0"/>
    <n v="5"/>
    <n v="2"/>
    <n v="0"/>
    <n v="0"/>
    <n v="2"/>
    <n v="4"/>
    <x v="0"/>
  </r>
  <r>
    <s v="E018"/>
    <n v="22"/>
    <x v="1"/>
    <s v="Non-Travel"/>
    <x v="1"/>
    <n v="16"/>
    <n v="2"/>
    <s v="Medical"/>
    <n v="4"/>
    <s v="Male"/>
    <n v="4"/>
    <n v="1"/>
    <x v="0"/>
    <n v="4"/>
    <s v="Divorced"/>
    <s v="Retail Banking"/>
    <s v="Hyderabad"/>
    <m/>
    <n v="2935"/>
    <n v="1"/>
    <s v="Yes"/>
    <x v="0"/>
    <n v="1"/>
    <n v="2"/>
    <n v="2"/>
    <n v="1"/>
    <n v="0"/>
    <n v="0"/>
    <n v="0"/>
    <n v="2"/>
    <n v="0"/>
    <n v="0"/>
    <n v="2"/>
    <n v="4"/>
    <x v="0"/>
  </r>
  <r>
    <s v="E019"/>
    <n v="53"/>
    <x v="1"/>
    <s v="Travel_Rarely"/>
    <x v="0"/>
    <n v="2"/>
    <n v="4"/>
    <s v="Life Sciences"/>
    <n v="1"/>
    <s v="Female"/>
    <n v="2"/>
    <n v="4"/>
    <x v="2"/>
    <n v="4"/>
    <s v="Married"/>
    <s v="Corporate Banking"/>
    <s v="Bangalore"/>
    <m/>
    <n v="15427"/>
    <n v="2"/>
    <s v="No"/>
    <x v="0"/>
    <n v="31"/>
    <n v="3"/>
    <n v="3"/>
    <n v="25"/>
    <n v="8"/>
    <n v="3"/>
    <n v="7"/>
    <n v="0"/>
    <n v="0"/>
    <n v="0"/>
    <n v="0"/>
    <n v="0"/>
    <x v="1"/>
  </r>
  <r>
    <s v="E020"/>
    <n v="38"/>
    <x v="1"/>
    <s v="Travel_Rarely"/>
    <x v="1"/>
    <n v="2"/>
    <n v="3"/>
    <s v="Life Sciences"/>
    <n v="4"/>
    <s v="Male"/>
    <n v="3"/>
    <n v="1"/>
    <x v="0"/>
    <n v="4"/>
    <s v="Single"/>
    <s v="Corporate Banking"/>
    <s v="Delhi"/>
    <m/>
    <n v="3944"/>
    <n v="5"/>
    <s v="Yes"/>
    <x v="0"/>
    <n v="6"/>
    <n v="3"/>
    <n v="3"/>
    <n v="3"/>
    <n v="2"/>
    <n v="1"/>
    <n v="2"/>
    <n v="2"/>
    <n v="2"/>
    <n v="0"/>
    <n v="2"/>
    <n v="6"/>
    <x v="2"/>
  </r>
  <r>
    <s v="E021"/>
    <n v="24"/>
    <x v="1"/>
    <s v="Non-Travel"/>
    <x v="1"/>
    <n v="11"/>
    <n v="2"/>
    <s v="Other"/>
    <n v="1"/>
    <s v="Female"/>
    <n v="4"/>
    <n v="2"/>
    <x v="1"/>
    <n v="3"/>
    <s v="Divorced"/>
    <s v="Risk"/>
    <s v="Hyderabad"/>
    <m/>
    <n v="4011"/>
    <n v="0"/>
    <s v="No"/>
    <x v="3"/>
    <n v="5"/>
    <n v="5"/>
    <n v="2"/>
    <n v="4"/>
    <n v="2"/>
    <n v="1"/>
    <n v="3"/>
    <n v="2"/>
    <n v="2"/>
    <n v="3"/>
    <n v="0"/>
    <n v="7"/>
    <x v="2"/>
  </r>
  <r>
    <s v="E022"/>
    <n v="36"/>
    <x v="0"/>
    <s v="Travel_Rarely"/>
    <x v="0"/>
    <n v="9"/>
    <n v="4"/>
    <s v="Life Sciences"/>
    <n v="3"/>
    <s v="Male"/>
    <n v="2"/>
    <n v="1"/>
    <x v="1"/>
    <n v="1"/>
    <s v="Single"/>
    <s v="Risk"/>
    <s v="Bangalore"/>
    <m/>
    <n v="3407"/>
    <n v="7"/>
    <s v="No"/>
    <x v="1"/>
    <n v="10"/>
    <n v="4"/>
    <n v="3"/>
    <n v="5"/>
    <n v="3"/>
    <n v="0"/>
    <n v="3"/>
    <n v="2"/>
    <n v="0"/>
    <n v="0"/>
    <n v="0"/>
    <n v="2"/>
    <x v="1"/>
  </r>
  <r>
    <s v="E023"/>
    <n v="34"/>
    <x v="1"/>
    <s v="Travel_Rarely"/>
    <x v="1"/>
    <n v="7"/>
    <n v="4"/>
    <s v="Life Sciences"/>
    <n v="1"/>
    <s v="Female"/>
    <n v="3"/>
    <n v="3"/>
    <x v="1"/>
    <n v="2"/>
    <s v="Single"/>
    <s v="Retail Banking"/>
    <s v="Bangalore"/>
    <m/>
    <n v="11994"/>
    <n v="0"/>
    <s v="No"/>
    <x v="0"/>
    <n v="13"/>
    <n v="4"/>
    <n v="3"/>
    <n v="12"/>
    <n v="6"/>
    <n v="2"/>
    <n v="11"/>
    <n v="0"/>
    <n v="0"/>
    <n v="0"/>
    <n v="0"/>
    <n v="0"/>
    <x v="1"/>
  </r>
  <r>
    <s v="E024"/>
    <n v="21"/>
    <x v="1"/>
    <s v="Travel_Rarely"/>
    <x v="1"/>
    <n v="15"/>
    <n v="2"/>
    <s v="Life Sciences"/>
    <n v="3"/>
    <s v="Male"/>
    <n v="3"/>
    <n v="1"/>
    <x v="0"/>
    <n v="4"/>
    <s v="Single"/>
    <s v="Retail Banking"/>
    <s v="Hyderabad"/>
    <m/>
    <n v="1232"/>
    <n v="1"/>
    <s v="No"/>
    <x v="0"/>
    <n v="0"/>
    <n v="6"/>
    <n v="3"/>
    <n v="0"/>
    <n v="0"/>
    <n v="0"/>
    <n v="0"/>
    <n v="2"/>
    <n v="0"/>
    <n v="0"/>
    <n v="0"/>
    <n v="2"/>
    <x v="1"/>
  </r>
  <r>
    <s v="E025"/>
    <n v="34"/>
    <x v="0"/>
    <s v="Travel_Rarely"/>
    <x v="1"/>
    <n v="6"/>
    <n v="1"/>
    <s v="Medical"/>
    <n v="2"/>
    <s v="Male"/>
    <n v="3"/>
    <n v="1"/>
    <x v="0"/>
    <n v="1"/>
    <s v="Single"/>
    <s v="Risk"/>
    <s v="Mumbai"/>
    <m/>
    <n v="2960"/>
    <n v="2"/>
    <s v="No"/>
    <x v="0"/>
    <n v="8"/>
    <n v="2"/>
    <n v="3"/>
    <n v="4"/>
    <n v="2"/>
    <n v="1"/>
    <n v="3"/>
    <n v="2"/>
    <n v="2"/>
    <n v="0"/>
    <n v="0"/>
    <n v="4"/>
    <x v="0"/>
  </r>
  <r>
    <s v="E026"/>
    <n v="53"/>
    <x v="1"/>
    <s v="Travel_Rarely"/>
    <x v="1"/>
    <n v="5"/>
    <n v="3"/>
    <s v="Other"/>
    <n v="3"/>
    <s v="Female"/>
    <n v="3"/>
    <n v="5"/>
    <x v="2"/>
    <n v="3"/>
    <s v="Divorced"/>
    <s v="Corporate Banking"/>
    <s v="Bangalore"/>
    <m/>
    <n v="19094"/>
    <n v="4"/>
    <s v="No"/>
    <x v="0"/>
    <n v="26"/>
    <n v="3"/>
    <n v="2"/>
    <n v="14"/>
    <n v="13"/>
    <n v="4"/>
    <n v="8"/>
    <n v="0"/>
    <n v="0"/>
    <n v="0"/>
    <n v="0"/>
    <n v="0"/>
    <x v="1"/>
  </r>
  <r>
    <s v="E027"/>
    <n v="32"/>
    <x v="0"/>
    <s v="Travel_Frequently"/>
    <x v="1"/>
    <n v="16"/>
    <n v="1"/>
    <s v="Life Sciences"/>
    <n v="2"/>
    <s v="Female"/>
    <n v="1"/>
    <n v="1"/>
    <x v="0"/>
    <n v="1"/>
    <s v="Single"/>
    <s v="Retail Banking"/>
    <s v="Delhi"/>
    <m/>
    <n v="3919"/>
    <n v="1"/>
    <s v="Yes"/>
    <x v="1"/>
    <n v="10"/>
    <n v="5"/>
    <n v="3"/>
    <n v="10"/>
    <n v="2"/>
    <n v="6"/>
    <n v="7"/>
    <n v="2"/>
    <n v="0"/>
    <n v="0"/>
    <n v="2"/>
    <n v="4"/>
    <x v="0"/>
  </r>
  <r>
    <s v="E028"/>
    <n v="42"/>
    <x v="1"/>
    <s v="Travel_Rarely"/>
    <x v="0"/>
    <n v="8"/>
    <n v="4"/>
    <s v="Marketing"/>
    <n v="3"/>
    <s v="Male"/>
    <n v="3"/>
    <n v="2"/>
    <x v="0"/>
    <n v="2"/>
    <s v="Married"/>
    <s v="Retail Banking"/>
    <s v="Hyderabad"/>
    <m/>
    <n v="6825"/>
    <n v="0"/>
    <s v="No"/>
    <x v="0"/>
    <n v="10"/>
    <n v="2"/>
    <n v="3"/>
    <n v="9"/>
    <n v="7"/>
    <n v="4"/>
    <n v="2"/>
    <n v="2"/>
    <n v="0"/>
    <n v="0"/>
    <n v="0"/>
    <n v="2"/>
    <x v="1"/>
  </r>
  <r>
    <s v="E029"/>
    <n v="44"/>
    <x v="1"/>
    <s v="Travel_Rarely"/>
    <x v="1"/>
    <n v="7"/>
    <n v="4"/>
    <s v="Medical"/>
    <n v="1"/>
    <s v="Female"/>
    <n v="2"/>
    <n v="3"/>
    <x v="1"/>
    <n v="4"/>
    <s v="Married"/>
    <s v="Corporate Banking"/>
    <s v="Bangalore"/>
    <m/>
    <n v="10248"/>
    <n v="3"/>
    <s v="No"/>
    <x v="0"/>
    <n v="24"/>
    <n v="4"/>
    <n v="3"/>
    <n v="22"/>
    <n v="6"/>
    <n v="5"/>
    <n v="17"/>
    <n v="0"/>
    <n v="0"/>
    <n v="0"/>
    <n v="0"/>
    <n v="0"/>
    <x v="1"/>
  </r>
  <r>
    <s v="E030"/>
    <n v="46"/>
    <x v="1"/>
    <s v="Travel_Rarely"/>
    <x v="0"/>
    <n v="2"/>
    <n v="4"/>
    <s v="Marketing"/>
    <n v="2"/>
    <s v="Female"/>
    <n v="3"/>
    <n v="5"/>
    <x v="2"/>
    <n v="1"/>
    <s v="Single"/>
    <s v="Corporate Banking"/>
    <s v="Delhi"/>
    <m/>
    <n v="18947"/>
    <n v="3"/>
    <s v="No"/>
    <x v="0"/>
    <n v="22"/>
    <n v="2"/>
    <n v="2"/>
    <n v="2"/>
    <n v="2"/>
    <n v="2"/>
    <n v="1"/>
    <n v="0"/>
    <n v="2"/>
    <n v="0"/>
    <n v="0"/>
    <n v="2"/>
    <x v="1"/>
  </r>
  <r>
    <s v="E031"/>
    <n v="33"/>
    <x v="1"/>
    <s v="Travel_Rarely"/>
    <x v="1"/>
    <n v="2"/>
    <n v="3"/>
    <s v="Medical"/>
    <n v="3"/>
    <s v="Male"/>
    <n v="3"/>
    <n v="1"/>
    <x v="0"/>
    <n v="4"/>
    <s v="Single"/>
    <s v="Risk"/>
    <s v="Hyderabad"/>
    <m/>
    <n v="2496"/>
    <n v="4"/>
    <s v="No"/>
    <x v="0"/>
    <n v="7"/>
    <n v="3"/>
    <n v="3"/>
    <n v="1"/>
    <n v="1"/>
    <n v="0"/>
    <n v="0"/>
    <n v="2"/>
    <n v="0"/>
    <n v="0"/>
    <n v="0"/>
    <n v="2"/>
    <x v="1"/>
  </r>
  <r>
    <s v="E032"/>
    <n v="44"/>
    <x v="1"/>
    <s v="Travel_Rarely"/>
    <x v="1"/>
    <n v="10"/>
    <n v="4"/>
    <s v="Other"/>
    <n v="4"/>
    <s v="Male"/>
    <n v="3"/>
    <n v="2"/>
    <x v="1"/>
    <n v="4"/>
    <s v="Married"/>
    <s v="Risk"/>
    <s v="Bangalore"/>
    <m/>
    <n v="6465"/>
    <n v="2"/>
    <s v="Yes"/>
    <x v="0"/>
    <n v="9"/>
    <n v="5"/>
    <n v="4"/>
    <n v="4"/>
    <n v="2"/>
    <n v="1"/>
    <n v="3"/>
    <n v="2"/>
    <n v="2"/>
    <n v="0"/>
    <n v="2"/>
    <n v="6"/>
    <x v="2"/>
  </r>
  <r>
    <s v="E033"/>
    <n v="30"/>
    <x v="1"/>
    <s v="Travel_Rarely"/>
    <x v="1"/>
    <n v="9"/>
    <n v="2"/>
    <s v="Medical"/>
    <n v="4"/>
    <s v="Male"/>
    <n v="2"/>
    <n v="1"/>
    <x v="0"/>
    <n v="3"/>
    <s v="Single"/>
    <s v="Retail Banking"/>
    <s v="Bangalore"/>
    <m/>
    <n v="2206"/>
    <n v="1"/>
    <s v="No"/>
    <x v="0"/>
    <n v="10"/>
    <n v="5"/>
    <n v="3"/>
    <n v="10"/>
    <n v="0"/>
    <n v="1"/>
    <n v="8"/>
    <n v="2"/>
    <n v="0"/>
    <n v="0"/>
    <n v="0"/>
    <n v="2"/>
    <x v="1"/>
  </r>
  <r>
    <s v="E034"/>
    <n v="39"/>
    <x v="0"/>
    <s v="Travel_Rarely"/>
    <x v="0"/>
    <n v="5"/>
    <n v="3"/>
    <s v="Technical Degree"/>
    <n v="4"/>
    <s v="Male"/>
    <n v="3"/>
    <n v="2"/>
    <x v="1"/>
    <n v="4"/>
    <s v="Married"/>
    <s v="Corporate Banking"/>
    <s v="Hyderabad"/>
    <m/>
    <n v="2086"/>
    <n v="3"/>
    <s v="No"/>
    <x v="0"/>
    <n v="19"/>
    <n v="6"/>
    <n v="4"/>
    <n v="1"/>
    <n v="0"/>
    <n v="0"/>
    <n v="0"/>
    <n v="2"/>
    <n v="0"/>
    <n v="0"/>
    <n v="0"/>
    <n v="2"/>
    <x v="1"/>
  </r>
  <r>
    <s v="E035"/>
    <n v="24"/>
    <x v="0"/>
    <s v="Travel_Rarely"/>
    <x v="1"/>
    <n v="1"/>
    <n v="3"/>
    <s v="Medical"/>
    <n v="2"/>
    <s v="Male"/>
    <n v="3"/>
    <n v="1"/>
    <x v="0"/>
    <n v="4"/>
    <s v="Married"/>
    <s v="Corporate Banking"/>
    <s v="Mumbai"/>
    <m/>
    <n v="2293"/>
    <n v="2"/>
    <s v="Yes"/>
    <x v="0"/>
    <n v="6"/>
    <n v="2"/>
    <n v="2"/>
    <n v="2"/>
    <n v="0"/>
    <n v="2"/>
    <n v="0"/>
    <n v="2"/>
    <n v="2"/>
    <n v="0"/>
    <n v="2"/>
    <n v="6"/>
    <x v="2"/>
  </r>
  <r>
    <s v="E036"/>
    <n v="43"/>
    <x v="1"/>
    <s v="Travel_Rarely"/>
    <x v="1"/>
    <n v="2"/>
    <n v="2"/>
    <s v="Medical"/>
    <n v="4"/>
    <s v="Female"/>
    <n v="4"/>
    <n v="1"/>
    <x v="0"/>
    <n v="3"/>
    <s v="Divorced"/>
    <s v="Risk"/>
    <s v="Bangalore"/>
    <m/>
    <n v="2645"/>
    <n v="1"/>
    <s v="No"/>
    <x v="0"/>
    <n v="6"/>
    <n v="3"/>
    <n v="2"/>
    <n v="5"/>
    <n v="3"/>
    <n v="1"/>
    <n v="4"/>
    <n v="2"/>
    <n v="0"/>
    <n v="0"/>
    <n v="0"/>
    <n v="2"/>
    <x v="1"/>
  </r>
  <r>
    <s v="E037"/>
    <n v="50"/>
    <x v="0"/>
    <s v="Travel_Rarely"/>
    <x v="0"/>
    <n v="3"/>
    <n v="2"/>
    <s v="Marketing"/>
    <n v="1"/>
    <s v="Male"/>
    <n v="2"/>
    <n v="1"/>
    <x v="1"/>
    <n v="3"/>
    <s v="Married"/>
    <s v="Risk"/>
    <s v="Delhi"/>
    <m/>
    <n v="2683"/>
    <n v="1"/>
    <s v="Yes"/>
    <x v="0"/>
    <n v="3"/>
    <n v="2"/>
    <n v="3"/>
    <n v="3"/>
    <n v="2"/>
    <n v="0"/>
    <n v="2"/>
    <n v="2"/>
    <n v="2"/>
    <n v="0"/>
    <n v="2"/>
    <n v="6"/>
    <x v="2"/>
  </r>
  <r>
    <s v="E038"/>
    <n v="35"/>
    <x v="1"/>
    <s v="Travel_Rarely"/>
    <x v="0"/>
    <n v="2"/>
    <n v="3"/>
    <s v="Marketing"/>
    <n v="4"/>
    <s v="Female"/>
    <n v="3"/>
    <n v="1"/>
    <x v="1"/>
    <n v="4"/>
    <s v="Married"/>
    <s v="Corporate Banking"/>
    <s v="Mumbai"/>
    <m/>
    <n v="2014"/>
    <n v="1"/>
    <s v="No"/>
    <x v="0"/>
    <n v="2"/>
    <n v="3"/>
    <n v="3"/>
    <n v="2"/>
    <n v="2"/>
    <n v="2"/>
    <n v="2"/>
    <n v="2"/>
    <n v="2"/>
    <n v="0"/>
    <n v="0"/>
    <n v="4"/>
    <x v="0"/>
  </r>
  <r>
    <s v="E039"/>
    <n v="36"/>
    <x v="1"/>
    <s v="Travel_Rarely"/>
    <x v="1"/>
    <n v="5"/>
    <n v="4"/>
    <s v="Life Sciences"/>
    <n v="2"/>
    <s v="Female"/>
    <n v="2"/>
    <n v="1"/>
    <x v="0"/>
    <n v="1"/>
    <s v="Married"/>
    <s v="Risk"/>
    <s v="Bangalore"/>
    <m/>
    <n v="3419"/>
    <n v="9"/>
    <s v="Yes"/>
    <x v="0"/>
    <n v="6"/>
    <n v="3"/>
    <n v="4"/>
    <n v="1"/>
    <n v="1"/>
    <n v="0"/>
    <n v="0"/>
    <n v="2"/>
    <n v="0"/>
    <n v="0"/>
    <n v="2"/>
    <n v="4"/>
    <x v="0"/>
  </r>
  <r>
    <s v="E040"/>
    <n v="33"/>
    <x v="1"/>
    <s v="Travel_Frequently"/>
    <x v="0"/>
    <n v="1"/>
    <n v="3"/>
    <s v="Life Sciences"/>
    <n v="3"/>
    <s v="Female"/>
    <n v="4"/>
    <n v="2"/>
    <x v="0"/>
    <n v="1"/>
    <s v="Married"/>
    <s v="Risk"/>
    <s v="Delhi"/>
    <m/>
    <n v="5376"/>
    <n v="2"/>
    <s v="No"/>
    <x v="0"/>
    <n v="10"/>
    <n v="3"/>
    <n v="3"/>
    <n v="5"/>
    <n v="3"/>
    <n v="1"/>
    <n v="3"/>
    <n v="2"/>
    <n v="0"/>
    <n v="0"/>
    <n v="0"/>
    <n v="2"/>
    <x v="1"/>
  </r>
  <r>
    <s v="E041"/>
    <n v="35"/>
    <x v="1"/>
    <s v="Travel_Rarely"/>
    <x v="1"/>
    <n v="4"/>
    <n v="2"/>
    <s v="Other"/>
    <n v="3"/>
    <s v="Male"/>
    <n v="3"/>
    <n v="1"/>
    <x v="0"/>
    <n v="4"/>
    <s v="Divorced"/>
    <s v="Retail Banking"/>
    <s v="Hyderabad"/>
    <m/>
    <n v="1951"/>
    <n v="1"/>
    <s v="No"/>
    <x v="0"/>
    <n v="1"/>
    <n v="3"/>
    <n v="3"/>
    <n v="1"/>
    <n v="0"/>
    <n v="0"/>
    <n v="0"/>
    <n v="2"/>
    <n v="0"/>
    <n v="0"/>
    <n v="0"/>
    <n v="2"/>
    <x v="1"/>
  </r>
  <r>
    <s v="E042"/>
    <n v="27"/>
    <x v="1"/>
    <s v="Travel_Rarely"/>
    <x v="1"/>
    <n v="2"/>
    <n v="4"/>
    <s v="Life Sciences"/>
    <n v="4"/>
    <s v="Female"/>
    <n v="3"/>
    <n v="1"/>
    <x v="0"/>
    <n v="1"/>
    <s v="Divorced"/>
    <s v="Corporate Banking"/>
    <s v="Bangalore"/>
    <m/>
    <n v="2341"/>
    <n v="1"/>
    <s v="No"/>
    <x v="0"/>
    <n v="1"/>
    <n v="6"/>
    <n v="3"/>
    <n v="1"/>
    <n v="0"/>
    <n v="0"/>
    <n v="0"/>
    <n v="2"/>
    <n v="0"/>
    <n v="0"/>
    <n v="0"/>
    <n v="2"/>
    <x v="1"/>
  </r>
  <r>
    <s v="E043"/>
    <n v="26"/>
    <x v="0"/>
    <s v="Travel_Rarely"/>
    <x v="1"/>
    <n v="25"/>
    <n v="3"/>
    <s v="Life Sciences"/>
    <n v="1"/>
    <s v="Male"/>
    <n v="1"/>
    <n v="1"/>
    <x v="0"/>
    <n v="3"/>
    <s v="Single"/>
    <s v="Corporate Banking"/>
    <s v="Bangalore"/>
    <m/>
    <n v="2293"/>
    <n v="1"/>
    <s v="No"/>
    <x v="0"/>
    <n v="1"/>
    <n v="2"/>
    <n v="2"/>
    <n v="1"/>
    <n v="0"/>
    <n v="0"/>
    <n v="1"/>
    <n v="2"/>
    <n v="0"/>
    <n v="0"/>
    <n v="0"/>
    <n v="2"/>
    <x v="1"/>
  </r>
  <r>
    <s v="E044"/>
    <n v="27"/>
    <x v="1"/>
    <s v="Travel_Frequently"/>
    <x v="0"/>
    <n v="8"/>
    <n v="3"/>
    <s v="Life Sciences"/>
    <n v="4"/>
    <s v="Male"/>
    <n v="3"/>
    <n v="3"/>
    <x v="0"/>
    <n v="3"/>
    <s v="Single"/>
    <s v="Risk"/>
    <s v="Hyderabad"/>
    <m/>
    <n v="8726"/>
    <n v="1"/>
    <s v="No"/>
    <x v="0"/>
    <n v="9"/>
    <n v="0"/>
    <n v="3"/>
    <n v="9"/>
    <n v="8"/>
    <n v="1"/>
    <n v="7"/>
    <n v="2"/>
    <n v="0"/>
    <n v="0"/>
    <n v="0"/>
    <n v="2"/>
    <x v="1"/>
  </r>
  <r>
    <s v="E045"/>
    <n v="30"/>
    <x v="1"/>
    <s v="Travel_Frequently"/>
    <x v="1"/>
    <n v="1"/>
    <n v="2"/>
    <s v="Medical"/>
    <n v="3"/>
    <s v="Female"/>
    <n v="3"/>
    <n v="2"/>
    <x v="0"/>
    <n v="4"/>
    <s v="Single"/>
    <s v="Risk"/>
    <s v="Mumbai"/>
    <m/>
    <n v="4011"/>
    <n v="1"/>
    <s v="No"/>
    <x v="1"/>
    <n v="12"/>
    <n v="2"/>
    <n v="3"/>
    <n v="12"/>
    <n v="8"/>
    <n v="3"/>
    <n v="7"/>
    <n v="2"/>
    <n v="0"/>
    <n v="0"/>
    <n v="0"/>
    <n v="2"/>
    <x v="1"/>
  </r>
  <r>
    <s v="E046"/>
    <n v="41"/>
    <x v="0"/>
    <s v="Travel_Rarely"/>
    <x v="1"/>
    <n v="12"/>
    <n v="3"/>
    <s v="Technical Degree"/>
    <n v="2"/>
    <s v="Female"/>
    <n v="3"/>
    <n v="5"/>
    <x v="1"/>
    <n v="3"/>
    <s v="Married"/>
    <s v="Retail Banking"/>
    <s v="Bangalore"/>
    <m/>
    <n v="19545"/>
    <n v="1"/>
    <s v="No"/>
    <x v="0"/>
    <n v="23"/>
    <n v="0"/>
    <n v="3"/>
    <n v="22"/>
    <n v="15"/>
    <n v="15"/>
    <n v="8"/>
    <n v="0"/>
    <n v="0"/>
    <n v="0"/>
    <n v="0"/>
    <n v="0"/>
    <x v="1"/>
  </r>
  <r>
    <s v="E047"/>
    <n v="34"/>
    <x v="1"/>
    <s v="Non-Travel"/>
    <x v="0"/>
    <n v="23"/>
    <n v="4"/>
    <s v="Marketing"/>
    <n v="2"/>
    <s v="Male"/>
    <n v="3"/>
    <n v="2"/>
    <x v="0"/>
    <n v="3"/>
    <s v="Single"/>
    <s v="Retail Banking"/>
    <s v="Delhi"/>
    <m/>
    <n v="4568"/>
    <n v="0"/>
    <s v="No"/>
    <x v="1"/>
    <n v="10"/>
    <n v="2"/>
    <n v="3"/>
    <n v="9"/>
    <n v="5"/>
    <n v="8"/>
    <n v="7"/>
    <n v="2"/>
    <n v="0"/>
    <n v="0"/>
    <n v="0"/>
    <n v="2"/>
    <x v="1"/>
  </r>
  <r>
    <s v="E048"/>
    <n v="37"/>
    <x v="1"/>
    <s v="Travel_Rarely"/>
    <x v="1"/>
    <n v="19"/>
    <n v="2"/>
    <s v="Life Sciences"/>
    <n v="2"/>
    <s v="Male"/>
    <n v="3"/>
    <n v="1"/>
    <x v="0"/>
    <n v="2"/>
    <s v="Married"/>
    <s v="Risk"/>
    <s v="Hyderabad"/>
    <m/>
    <n v="3022"/>
    <n v="4"/>
    <s v="No"/>
    <x v="1"/>
    <n v="8"/>
    <n v="1"/>
    <n v="3"/>
    <n v="1"/>
    <n v="0"/>
    <n v="0"/>
    <n v="0"/>
    <n v="2"/>
    <n v="0"/>
    <n v="0"/>
    <n v="0"/>
    <n v="2"/>
    <x v="1"/>
  </r>
  <r>
    <s v="E049"/>
    <n v="46"/>
    <x v="1"/>
    <s v="Travel_Frequently"/>
    <x v="0"/>
    <n v="5"/>
    <n v="4"/>
    <s v="Marketing"/>
    <n v="1"/>
    <s v="Male"/>
    <n v="3"/>
    <n v="2"/>
    <x v="0"/>
    <n v="4"/>
    <s v="Single"/>
    <s v="Corporate Banking"/>
    <s v="Bangalore"/>
    <m/>
    <n v="5772"/>
    <n v="4"/>
    <s v="Yes"/>
    <x v="1"/>
    <n v="14"/>
    <n v="4"/>
    <n v="3"/>
    <n v="9"/>
    <n v="6"/>
    <n v="0"/>
    <n v="8"/>
    <n v="2"/>
    <n v="0"/>
    <n v="0"/>
    <n v="2"/>
    <n v="4"/>
    <x v="0"/>
  </r>
  <r>
    <s v="E050"/>
    <n v="35"/>
    <x v="1"/>
    <s v="Travel_Rarely"/>
    <x v="1"/>
    <n v="8"/>
    <n v="1"/>
    <s v="Life Sciences"/>
    <n v="4"/>
    <s v="Male"/>
    <n v="4"/>
    <n v="1"/>
    <x v="0"/>
    <n v="4"/>
    <s v="Married"/>
    <s v="Retail Banking"/>
    <s v="Bangalore"/>
    <m/>
    <n v="2269"/>
    <n v="1"/>
    <s v="No"/>
    <x v="0"/>
    <n v="1"/>
    <n v="2"/>
    <n v="3"/>
    <n v="1"/>
    <n v="0"/>
    <n v="0"/>
    <n v="1"/>
    <n v="2"/>
    <n v="0"/>
    <n v="0"/>
    <n v="0"/>
    <n v="2"/>
    <x v="1"/>
  </r>
  <r>
    <s v="E051"/>
    <n v="48"/>
    <x v="0"/>
    <s v="Travel_Rarely"/>
    <x v="1"/>
    <n v="1"/>
    <n v="2"/>
    <s v="Life Sciences"/>
    <n v="1"/>
    <s v="Male"/>
    <n v="2"/>
    <n v="3"/>
    <x v="0"/>
    <n v="3"/>
    <s v="Single"/>
    <s v="Retail Banking"/>
    <s v="Hyderabad"/>
    <m/>
    <n v="5381"/>
    <n v="9"/>
    <s v="Yes"/>
    <x v="0"/>
    <n v="23"/>
    <n v="2"/>
    <n v="3"/>
    <n v="1"/>
    <n v="0"/>
    <n v="0"/>
    <n v="0"/>
    <n v="2"/>
    <n v="0"/>
    <n v="0"/>
    <n v="2"/>
    <n v="4"/>
    <x v="0"/>
  </r>
  <r>
    <s v="E052"/>
    <n v="28"/>
    <x v="0"/>
    <s v="Travel_Rarely"/>
    <x v="1"/>
    <n v="5"/>
    <n v="4"/>
    <s v="Technical Degree"/>
    <n v="3"/>
    <s v="Male"/>
    <n v="3"/>
    <n v="1"/>
    <x v="0"/>
    <n v="3"/>
    <s v="Single"/>
    <s v="Corporate Banking"/>
    <s v="Mumbai"/>
    <m/>
    <n v="3441"/>
    <n v="1"/>
    <s v="Yes"/>
    <x v="0"/>
    <n v="2"/>
    <n v="3"/>
    <n v="2"/>
    <n v="2"/>
    <n v="2"/>
    <n v="2"/>
    <n v="2"/>
    <n v="2"/>
    <n v="2"/>
    <n v="0"/>
    <n v="2"/>
    <n v="6"/>
    <x v="2"/>
  </r>
  <r>
    <s v="E053"/>
    <n v="44"/>
    <x v="1"/>
    <s v="Travel_Rarely"/>
    <x v="0"/>
    <n v="1"/>
    <n v="5"/>
    <s v="Marketing"/>
    <n v="2"/>
    <s v="Female"/>
    <n v="3"/>
    <n v="2"/>
    <x v="0"/>
    <n v="1"/>
    <s v="Divorced"/>
    <s v="Corporate Banking"/>
    <s v="Bangalore"/>
    <m/>
    <n v="5454"/>
    <n v="5"/>
    <s v="Yes"/>
    <x v="1"/>
    <n v="9"/>
    <n v="2"/>
    <n v="2"/>
    <n v="4"/>
    <n v="3"/>
    <n v="1"/>
    <n v="3"/>
    <n v="2"/>
    <n v="2"/>
    <n v="0"/>
    <n v="2"/>
    <n v="6"/>
    <x v="2"/>
  </r>
  <r>
    <s v="E054"/>
    <n v="35"/>
    <x v="1"/>
    <s v="Non-Travel"/>
    <x v="1"/>
    <n v="11"/>
    <n v="2"/>
    <s v="Medical"/>
    <n v="3"/>
    <s v="Male"/>
    <n v="2"/>
    <n v="3"/>
    <x v="1"/>
    <n v="1"/>
    <s v="Married"/>
    <s v="Risk"/>
    <s v="Delhi"/>
    <m/>
    <n v="9884"/>
    <n v="2"/>
    <s v="Yes"/>
    <x v="0"/>
    <n v="10"/>
    <n v="3"/>
    <n v="3"/>
    <n v="4"/>
    <n v="0"/>
    <n v="2"/>
    <n v="3"/>
    <n v="2"/>
    <n v="2"/>
    <n v="0"/>
    <n v="2"/>
    <n v="6"/>
    <x v="2"/>
  </r>
  <r>
    <s v="E055"/>
    <n v="26"/>
    <x v="1"/>
    <s v="Travel_Rarely"/>
    <x v="0"/>
    <n v="23"/>
    <n v="3"/>
    <s v="Marketing"/>
    <n v="3"/>
    <s v="Female"/>
    <n v="2"/>
    <n v="2"/>
    <x v="0"/>
    <n v="4"/>
    <s v="Married"/>
    <s v="Risk"/>
    <s v="Hyderabad"/>
    <m/>
    <n v="4157"/>
    <n v="7"/>
    <s v="Yes"/>
    <x v="0"/>
    <n v="5"/>
    <n v="2"/>
    <n v="2"/>
    <n v="2"/>
    <n v="2"/>
    <n v="0"/>
    <n v="0"/>
    <n v="2"/>
    <n v="2"/>
    <n v="0"/>
    <n v="2"/>
    <n v="6"/>
    <x v="2"/>
  </r>
  <r>
    <s v="E056"/>
    <n v="33"/>
    <x v="1"/>
    <s v="Travel_Frequently"/>
    <x v="1"/>
    <n v="1"/>
    <n v="2"/>
    <s v="Life Sciences"/>
    <n v="1"/>
    <s v="Female"/>
    <n v="3"/>
    <n v="3"/>
    <x v="1"/>
    <n v="4"/>
    <s v="Single"/>
    <s v="Retail Banking"/>
    <s v="Bangalore"/>
    <m/>
    <n v="13458"/>
    <n v="1"/>
    <s v="Yes"/>
    <x v="0"/>
    <n v="15"/>
    <n v="1"/>
    <n v="3"/>
    <n v="15"/>
    <n v="14"/>
    <n v="8"/>
    <n v="12"/>
    <n v="0"/>
    <n v="0"/>
    <n v="0"/>
    <n v="2"/>
    <n v="2"/>
    <x v="1"/>
  </r>
  <r>
    <s v="E057"/>
    <n v="35"/>
    <x v="1"/>
    <s v="Travel_Frequently"/>
    <x v="0"/>
    <n v="18"/>
    <n v="5"/>
    <s v="Life Sciences"/>
    <n v="2"/>
    <s v="Male"/>
    <n v="3"/>
    <n v="3"/>
    <x v="0"/>
    <n v="1"/>
    <s v="Married"/>
    <s v="Corporate Banking"/>
    <s v="Delhi"/>
    <m/>
    <n v="9069"/>
    <n v="1"/>
    <s v="No"/>
    <x v="1"/>
    <n v="9"/>
    <n v="3"/>
    <n v="2"/>
    <n v="9"/>
    <n v="8"/>
    <n v="1"/>
    <n v="8"/>
    <n v="2"/>
    <n v="0"/>
    <n v="0"/>
    <n v="0"/>
    <n v="2"/>
    <x v="1"/>
  </r>
  <r>
    <s v="E058"/>
    <n v="35"/>
    <x v="1"/>
    <s v="Travel_Rarely"/>
    <x v="1"/>
    <n v="23"/>
    <n v="4"/>
    <s v="Medical"/>
    <n v="3"/>
    <s v="Female"/>
    <n v="3"/>
    <n v="1"/>
    <x v="0"/>
    <n v="1"/>
    <s v="Married"/>
    <s v="Corporate Banking"/>
    <s v="Hyderabad"/>
    <m/>
    <n v="4014"/>
    <n v="3"/>
    <s v="Yes"/>
    <x v="0"/>
    <n v="4"/>
    <n v="3"/>
    <n v="3"/>
    <n v="2"/>
    <n v="2"/>
    <n v="2"/>
    <n v="2"/>
    <n v="2"/>
    <n v="2"/>
    <n v="0"/>
    <n v="2"/>
    <n v="6"/>
    <x v="2"/>
  </r>
  <r>
    <s v="E059"/>
    <n v="31"/>
    <x v="1"/>
    <s v="Travel_Rarely"/>
    <x v="1"/>
    <n v="7"/>
    <n v="4"/>
    <s v="Life Sciences"/>
    <n v="4"/>
    <s v="Male"/>
    <n v="3"/>
    <n v="2"/>
    <x v="0"/>
    <n v="4"/>
    <s v="Divorced"/>
    <s v="Risk"/>
    <s v="Bangalore"/>
    <m/>
    <n v="5915"/>
    <n v="3"/>
    <s v="No"/>
    <x v="1"/>
    <n v="10"/>
    <n v="3"/>
    <n v="2"/>
    <n v="7"/>
    <n v="7"/>
    <n v="1"/>
    <n v="7"/>
    <n v="2"/>
    <n v="0"/>
    <n v="0"/>
    <n v="0"/>
    <n v="2"/>
    <x v="1"/>
  </r>
  <r>
    <s v="E060"/>
    <n v="37"/>
    <x v="1"/>
    <s v="Travel_Rarely"/>
    <x v="1"/>
    <n v="1"/>
    <n v="4"/>
    <s v="Life Sciences"/>
    <n v="1"/>
    <s v="Male"/>
    <n v="2"/>
    <n v="2"/>
    <x v="1"/>
    <n v="3"/>
    <s v="Divorced"/>
    <s v="Risk"/>
    <s v="Bangalore"/>
    <m/>
    <n v="5993"/>
    <n v="1"/>
    <s v="No"/>
    <x v="0"/>
    <n v="7"/>
    <n v="2"/>
    <n v="4"/>
    <n v="7"/>
    <n v="5"/>
    <n v="0"/>
    <n v="7"/>
    <n v="2"/>
    <n v="0"/>
    <n v="0"/>
    <n v="0"/>
    <n v="2"/>
    <x v="1"/>
  </r>
  <r>
    <s v="E061"/>
    <n v="32"/>
    <x v="1"/>
    <s v="Travel_Rarely"/>
    <x v="1"/>
    <n v="1"/>
    <n v="3"/>
    <s v="Medical"/>
    <n v="1"/>
    <s v="Male"/>
    <n v="3"/>
    <n v="2"/>
    <x v="1"/>
    <n v="4"/>
    <s v="Married"/>
    <s v="Corporate Banking"/>
    <s v="Hyderabad"/>
    <m/>
    <n v="6162"/>
    <n v="1"/>
    <s v="Yes"/>
    <x v="1"/>
    <n v="9"/>
    <n v="3"/>
    <n v="3"/>
    <n v="9"/>
    <n v="8"/>
    <n v="7"/>
    <n v="8"/>
    <n v="2"/>
    <n v="0"/>
    <n v="0"/>
    <n v="2"/>
    <n v="4"/>
    <x v="0"/>
  </r>
  <r>
    <s v="E062"/>
    <n v="38"/>
    <x v="1"/>
    <s v="Travel_Frequently"/>
    <x v="1"/>
    <n v="29"/>
    <n v="5"/>
    <s v="Life Sciences"/>
    <n v="4"/>
    <s v="Female"/>
    <n v="3"/>
    <n v="2"/>
    <x v="0"/>
    <n v="4"/>
    <s v="Single"/>
    <s v="Risk"/>
    <s v="Mumbai"/>
    <m/>
    <n v="2406"/>
    <n v="1"/>
    <s v="No"/>
    <x v="3"/>
    <n v="10"/>
    <n v="2"/>
    <n v="3"/>
    <n v="10"/>
    <n v="3"/>
    <n v="9"/>
    <n v="9"/>
    <n v="2"/>
    <n v="0"/>
    <n v="3"/>
    <n v="0"/>
    <n v="5"/>
    <x v="0"/>
  </r>
  <r>
    <s v="E063"/>
    <n v="50"/>
    <x v="1"/>
    <s v="Travel_Rarely"/>
    <x v="1"/>
    <n v="7"/>
    <n v="2"/>
    <s v="Medical"/>
    <n v="2"/>
    <s v="Female"/>
    <n v="2"/>
    <n v="5"/>
    <x v="1"/>
    <n v="3"/>
    <s v="Divorced"/>
    <s v="Risk"/>
    <s v="Bangalore"/>
    <m/>
    <n v="18740"/>
    <n v="5"/>
    <s v="Yes"/>
    <x v="0"/>
    <n v="29"/>
    <n v="2"/>
    <n v="2"/>
    <n v="27"/>
    <n v="3"/>
    <n v="13"/>
    <n v="8"/>
    <n v="0"/>
    <n v="0"/>
    <n v="0"/>
    <n v="2"/>
    <n v="2"/>
    <x v="1"/>
  </r>
  <r>
    <s v="E064"/>
    <n v="59"/>
    <x v="1"/>
    <s v="Travel_Rarely"/>
    <x v="0"/>
    <n v="25"/>
    <n v="3"/>
    <s v="Life Sciences"/>
    <n v="1"/>
    <s v="Female"/>
    <n v="3"/>
    <n v="3"/>
    <x v="0"/>
    <n v="1"/>
    <s v="Single"/>
    <s v="Retail Banking"/>
    <s v="Delhi"/>
    <m/>
    <n v="7637"/>
    <n v="7"/>
    <s v="No"/>
    <x v="0"/>
    <n v="28"/>
    <n v="3"/>
    <n v="2"/>
    <n v="21"/>
    <n v="16"/>
    <n v="7"/>
    <n v="9"/>
    <n v="2"/>
    <n v="0"/>
    <n v="0"/>
    <n v="0"/>
    <n v="2"/>
    <x v="1"/>
  </r>
  <r>
    <s v="E065"/>
    <n v="36"/>
    <x v="1"/>
    <s v="Travel_Rarely"/>
    <x v="1"/>
    <n v="8"/>
    <n v="3"/>
    <s v="Technical Degree"/>
    <n v="3"/>
    <s v="Female"/>
    <n v="3"/>
    <n v="3"/>
    <x v="1"/>
    <n v="3"/>
    <s v="Divorced"/>
    <s v="Corporate Banking"/>
    <s v="Hyderabad"/>
    <m/>
    <n v="10096"/>
    <n v="1"/>
    <s v="No"/>
    <x v="0"/>
    <n v="17"/>
    <n v="2"/>
    <n v="3"/>
    <n v="17"/>
    <n v="14"/>
    <n v="12"/>
    <n v="8"/>
    <n v="0"/>
    <n v="0"/>
    <n v="0"/>
    <n v="0"/>
    <n v="0"/>
    <x v="1"/>
  </r>
  <r>
    <s v="E066"/>
    <n v="55"/>
    <x v="1"/>
    <s v="Travel_Rarely"/>
    <x v="1"/>
    <n v="8"/>
    <n v="3"/>
    <s v="Medical"/>
    <n v="4"/>
    <s v="Female"/>
    <n v="3"/>
    <n v="4"/>
    <x v="2"/>
    <n v="3"/>
    <s v="Divorced"/>
    <s v="Corporate Banking"/>
    <s v="Bangalore"/>
    <m/>
    <n v="14756"/>
    <n v="2"/>
    <s v="Yes"/>
    <x v="0"/>
    <n v="21"/>
    <n v="2"/>
    <n v="3"/>
    <n v="5"/>
    <n v="0"/>
    <n v="0"/>
    <n v="2"/>
    <n v="0"/>
    <n v="0"/>
    <n v="0"/>
    <n v="2"/>
    <n v="2"/>
    <x v="1"/>
  </r>
  <r>
    <s v="E067"/>
    <n v="36"/>
    <x v="1"/>
    <s v="Travel_Frequently"/>
    <x v="1"/>
    <n v="11"/>
    <n v="3"/>
    <s v="Life Sciences"/>
    <n v="2"/>
    <s v="Male"/>
    <n v="2"/>
    <n v="2"/>
    <x v="1"/>
    <n v="2"/>
    <s v="Single"/>
    <s v="Risk"/>
    <s v="Delhi"/>
    <m/>
    <n v="6499"/>
    <n v="1"/>
    <s v="No"/>
    <x v="0"/>
    <n v="6"/>
    <n v="3"/>
    <n v="3"/>
    <n v="6"/>
    <n v="5"/>
    <n v="0"/>
    <n v="3"/>
    <n v="2"/>
    <n v="0"/>
    <n v="0"/>
    <n v="0"/>
    <n v="2"/>
    <x v="1"/>
  </r>
  <r>
    <s v="E068"/>
    <n v="45"/>
    <x v="1"/>
    <s v="Travel_Rarely"/>
    <x v="1"/>
    <n v="7"/>
    <n v="3"/>
    <s v="Life Sciences"/>
    <n v="2"/>
    <s v="Male"/>
    <n v="3"/>
    <n v="3"/>
    <x v="0"/>
    <n v="1"/>
    <s v="Divorced"/>
    <s v="Risk"/>
    <s v="Hyderabad"/>
    <m/>
    <n v="9724"/>
    <n v="2"/>
    <s v="No"/>
    <x v="0"/>
    <n v="25"/>
    <n v="2"/>
    <n v="3"/>
    <n v="1"/>
    <n v="0"/>
    <n v="0"/>
    <n v="0"/>
    <n v="2"/>
    <n v="0"/>
    <n v="0"/>
    <n v="0"/>
    <n v="2"/>
    <x v="1"/>
  </r>
  <r>
    <s v="E069"/>
    <n v="35"/>
    <x v="1"/>
    <s v="Travel_Frequently"/>
    <x v="1"/>
    <n v="1"/>
    <n v="3"/>
    <s v="Medical"/>
    <n v="2"/>
    <s v="Male"/>
    <n v="3"/>
    <n v="1"/>
    <x v="0"/>
    <n v="1"/>
    <s v="Married"/>
    <s v="Retail Banking"/>
    <s v="Bangalore"/>
    <m/>
    <n v="2194"/>
    <n v="4"/>
    <s v="No"/>
    <x v="0"/>
    <n v="5"/>
    <n v="2"/>
    <n v="2"/>
    <n v="3"/>
    <n v="2"/>
    <n v="1"/>
    <n v="2"/>
    <n v="2"/>
    <n v="2"/>
    <n v="0"/>
    <n v="0"/>
    <n v="4"/>
    <x v="0"/>
  </r>
  <r>
    <s v="E070"/>
    <n v="36"/>
    <x v="0"/>
    <s v="Travel_Rarely"/>
    <x v="1"/>
    <n v="9"/>
    <n v="3"/>
    <s v="Medical"/>
    <n v="4"/>
    <s v="Male"/>
    <n v="2"/>
    <n v="1"/>
    <x v="0"/>
    <n v="3"/>
    <s v="Married"/>
    <s v="Retail Banking"/>
    <s v="Bangalore"/>
    <m/>
    <n v="3388"/>
    <n v="0"/>
    <s v="Yes"/>
    <x v="2"/>
    <n v="2"/>
    <n v="0"/>
    <n v="2"/>
    <n v="1"/>
    <n v="0"/>
    <n v="0"/>
    <n v="0"/>
    <n v="2"/>
    <n v="0"/>
    <n v="3"/>
    <n v="2"/>
    <n v="7"/>
    <x v="2"/>
  </r>
  <r>
    <s v="E071"/>
    <n v="59"/>
    <x v="1"/>
    <s v="Travel_Frequently"/>
    <x v="0"/>
    <n v="1"/>
    <n v="1"/>
    <s v="Life Sciences"/>
    <n v="1"/>
    <s v="Female"/>
    <n v="2"/>
    <n v="2"/>
    <x v="0"/>
    <n v="3"/>
    <s v="Single"/>
    <s v="Risk"/>
    <s v="Hyderabad"/>
    <m/>
    <n v="5473"/>
    <n v="7"/>
    <s v="No"/>
    <x v="0"/>
    <n v="20"/>
    <n v="2"/>
    <n v="2"/>
    <n v="4"/>
    <n v="3"/>
    <n v="1"/>
    <n v="3"/>
    <n v="2"/>
    <n v="2"/>
    <n v="0"/>
    <n v="0"/>
    <n v="4"/>
    <x v="0"/>
  </r>
  <r>
    <s v="E072"/>
    <n v="29"/>
    <x v="1"/>
    <s v="Travel_Rarely"/>
    <x v="1"/>
    <n v="2"/>
    <n v="3"/>
    <s v="Life Sciences"/>
    <n v="3"/>
    <s v="Male"/>
    <n v="3"/>
    <n v="1"/>
    <x v="0"/>
    <n v="2"/>
    <s v="Married"/>
    <s v="Corporate Banking"/>
    <s v="Mumbai"/>
    <m/>
    <n v="2703"/>
    <n v="0"/>
    <s v="No"/>
    <x v="1"/>
    <n v="6"/>
    <n v="3"/>
    <n v="3"/>
    <n v="5"/>
    <n v="4"/>
    <n v="0"/>
    <n v="4"/>
    <n v="2"/>
    <n v="0"/>
    <n v="0"/>
    <n v="0"/>
    <n v="2"/>
    <x v="1"/>
  </r>
  <r>
    <s v="E073"/>
    <n v="31"/>
    <x v="1"/>
    <s v="Travel_Rarely"/>
    <x v="1"/>
    <n v="1"/>
    <n v="4"/>
    <s v="Medical"/>
    <n v="3"/>
    <s v="Male"/>
    <n v="3"/>
    <n v="1"/>
    <x v="0"/>
    <n v="2"/>
    <s v="Single"/>
    <s v="Retail Banking"/>
    <s v="Bangalore"/>
    <m/>
    <n v="2501"/>
    <n v="1"/>
    <s v="No"/>
    <x v="0"/>
    <n v="1"/>
    <n v="4"/>
    <n v="3"/>
    <n v="1"/>
    <n v="1"/>
    <n v="1"/>
    <n v="0"/>
    <n v="2"/>
    <n v="0"/>
    <n v="0"/>
    <n v="0"/>
    <n v="2"/>
    <x v="1"/>
  </r>
  <r>
    <s v="E074"/>
    <n v="32"/>
    <x v="1"/>
    <s v="Travel_Rarely"/>
    <x v="1"/>
    <n v="1"/>
    <n v="3"/>
    <s v="Life Sciences"/>
    <n v="2"/>
    <s v="Male"/>
    <n v="3"/>
    <n v="2"/>
    <x v="0"/>
    <n v="2"/>
    <s v="Married"/>
    <s v="Retail Banking"/>
    <s v="Delhi"/>
    <m/>
    <n v="6220"/>
    <n v="1"/>
    <s v="No"/>
    <x v="0"/>
    <n v="10"/>
    <n v="3"/>
    <n v="3"/>
    <n v="10"/>
    <n v="4"/>
    <n v="0"/>
    <n v="9"/>
    <n v="2"/>
    <n v="0"/>
    <n v="0"/>
    <n v="0"/>
    <n v="2"/>
    <x v="1"/>
  </r>
  <r>
    <s v="E075"/>
    <n v="36"/>
    <x v="1"/>
    <s v="Travel_Rarely"/>
    <x v="1"/>
    <n v="6"/>
    <n v="3"/>
    <s v="Life Sciences"/>
    <n v="2"/>
    <s v="Female"/>
    <n v="4"/>
    <n v="1"/>
    <x v="0"/>
    <n v="4"/>
    <s v="Married"/>
    <s v="Corporate Banking"/>
    <s v="Mumbai"/>
    <m/>
    <n v="3038"/>
    <n v="3"/>
    <s v="No"/>
    <x v="0"/>
    <n v="5"/>
    <n v="3"/>
    <n v="3"/>
    <n v="1"/>
    <n v="0"/>
    <n v="0"/>
    <n v="0"/>
    <n v="2"/>
    <n v="0"/>
    <n v="0"/>
    <n v="0"/>
    <n v="2"/>
    <x v="1"/>
  </r>
  <r>
    <s v="E076"/>
    <n v="31"/>
    <x v="1"/>
    <s v="Travel_Rarely"/>
    <x v="1"/>
    <n v="8"/>
    <n v="4"/>
    <s v="Life Sciences"/>
    <n v="3"/>
    <s v="Female"/>
    <n v="3"/>
    <n v="2"/>
    <x v="1"/>
    <n v="4"/>
    <s v="Single"/>
    <s v="Corporate Banking"/>
    <s v="Bangalore"/>
    <m/>
    <n v="4424"/>
    <n v="1"/>
    <s v="No"/>
    <x v="1"/>
    <n v="11"/>
    <n v="2"/>
    <n v="3"/>
    <n v="11"/>
    <n v="7"/>
    <n v="1"/>
    <n v="8"/>
    <n v="2"/>
    <n v="0"/>
    <n v="0"/>
    <n v="0"/>
    <n v="2"/>
    <x v="1"/>
  </r>
  <r>
    <s v="E077"/>
    <n v="35"/>
    <x v="1"/>
    <s v="Travel_Rarely"/>
    <x v="0"/>
    <n v="1"/>
    <n v="4"/>
    <s v="Marketing"/>
    <n v="3"/>
    <s v="Male"/>
    <n v="2"/>
    <n v="2"/>
    <x v="0"/>
    <n v="1"/>
    <s v="Single"/>
    <s v="Risk"/>
    <s v="Delhi"/>
    <m/>
    <n v="4312"/>
    <n v="0"/>
    <s v="No"/>
    <x v="3"/>
    <n v="16"/>
    <n v="2"/>
    <n v="3"/>
    <n v="15"/>
    <n v="13"/>
    <n v="2"/>
    <n v="8"/>
    <n v="2"/>
    <n v="0"/>
    <n v="3"/>
    <n v="0"/>
    <n v="5"/>
    <x v="0"/>
  </r>
  <r>
    <s v="E078"/>
    <n v="45"/>
    <x v="1"/>
    <s v="Travel_Rarely"/>
    <x v="1"/>
    <n v="6"/>
    <n v="4"/>
    <s v="Other"/>
    <n v="4"/>
    <s v="Male"/>
    <n v="3"/>
    <n v="3"/>
    <x v="1"/>
    <n v="1"/>
    <s v="Married"/>
    <s v="Risk"/>
    <s v="Hyderabad"/>
    <m/>
    <n v="13245"/>
    <n v="4"/>
    <s v="Yes"/>
    <x v="0"/>
    <n v="17"/>
    <n v="3"/>
    <n v="4"/>
    <n v="0"/>
    <n v="0"/>
    <n v="0"/>
    <n v="0"/>
    <n v="0"/>
    <n v="0"/>
    <n v="0"/>
    <n v="2"/>
    <n v="2"/>
    <x v="1"/>
  </r>
  <r>
    <s v="E079"/>
    <n v="37"/>
    <x v="1"/>
    <s v="Travel_Rarely"/>
    <x v="1"/>
    <n v="7"/>
    <n v="4"/>
    <s v="Medical"/>
    <n v="1"/>
    <s v="Male"/>
    <n v="3"/>
    <n v="3"/>
    <x v="1"/>
    <n v="3"/>
    <s v="Single"/>
    <s v="Retail Banking"/>
    <s v="Bangalore"/>
    <m/>
    <n v="13664"/>
    <n v="4"/>
    <s v="No"/>
    <x v="0"/>
    <n v="16"/>
    <n v="3"/>
    <n v="4"/>
    <n v="5"/>
    <n v="2"/>
    <n v="0"/>
    <n v="2"/>
    <n v="0"/>
    <n v="0"/>
    <n v="0"/>
    <n v="0"/>
    <n v="0"/>
    <x v="1"/>
  </r>
  <r>
    <s v="E080"/>
    <n v="46"/>
    <x v="1"/>
    <s v="Travel_Rarely"/>
    <x v="1"/>
    <n v="5"/>
    <n v="2"/>
    <s v="Medical"/>
    <n v="2"/>
    <s v="Male"/>
    <n v="3"/>
    <n v="2"/>
    <x v="1"/>
    <n v="2"/>
    <s v="Divorced"/>
    <s v="Corporate Banking"/>
    <s v="Bangalore"/>
    <m/>
    <n v="5021"/>
    <n v="8"/>
    <s v="Yes"/>
    <x v="1"/>
    <n v="16"/>
    <n v="2"/>
    <n v="3"/>
    <n v="4"/>
    <n v="2"/>
    <n v="0"/>
    <n v="2"/>
    <n v="2"/>
    <n v="2"/>
    <n v="0"/>
    <n v="2"/>
    <n v="6"/>
    <x v="2"/>
  </r>
  <r>
    <s v="E081"/>
    <n v="30"/>
    <x v="1"/>
    <s v="Travel_Rarely"/>
    <x v="1"/>
    <n v="1"/>
    <n v="1"/>
    <s v="Life Sciences"/>
    <n v="4"/>
    <s v="Male"/>
    <n v="2"/>
    <n v="2"/>
    <x v="0"/>
    <n v="4"/>
    <s v="Married"/>
    <s v="Corporate Banking"/>
    <s v="Hyderabad"/>
    <m/>
    <n v="5126"/>
    <n v="1"/>
    <s v="Yes"/>
    <x v="0"/>
    <n v="10"/>
    <n v="1"/>
    <n v="2"/>
    <n v="10"/>
    <n v="8"/>
    <n v="3"/>
    <n v="0"/>
    <n v="2"/>
    <n v="0"/>
    <n v="0"/>
    <n v="2"/>
    <n v="4"/>
    <x v="0"/>
  </r>
  <r>
    <s v="E082"/>
    <n v="35"/>
    <x v="1"/>
    <s v="Travel_Rarely"/>
    <x v="1"/>
    <n v="1"/>
    <n v="3"/>
    <s v="Medical"/>
    <n v="2"/>
    <s v="Male"/>
    <n v="2"/>
    <n v="1"/>
    <x v="0"/>
    <n v="3"/>
    <s v="Single"/>
    <s v="Risk"/>
    <s v="Mumbai"/>
    <m/>
    <n v="2859"/>
    <n v="1"/>
    <s v="No"/>
    <x v="0"/>
    <n v="6"/>
    <n v="3"/>
    <n v="3"/>
    <n v="6"/>
    <n v="4"/>
    <n v="0"/>
    <n v="4"/>
    <n v="2"/>
    <n v="0"/>
    <n v="0"/>
    <n v="0"/>
    <n v="2"/>
    <x v="1"/>
  </r>
  <r>
    <s v="E083"/>
    <n v="55"/>
    <x v="1"/>
    <s v="Travel_Rarely"/>
    <x v="0"/>
    <n v="1"/>
    <n v="2"/>
    <s v="Life Sciences"/>
    <n v="1"/>
    <s v="Male"/>
    <n v="3"/>
    <n v="3"/>
    <x v="0"/>
    <n v="4"/>
    <s v="Married"/>
    <s v="Risk"/>
    <s v="Bangalore"/>
    <m/>
    <n v="10239"/>
    <n v="3"/>
    <s v="No"/>
    <x v="0"/>
    <n v="24"/>
    <n v="4"/>
    <n v="3"/>
    <n v="1"/>
    <n v="0"/>
    <n v="1"/>
    <n v="0"/>
    <n v="0"/>
    <n v="0"/>
    <n v="0"/>
    <n v="0"/>
    <n v="0"/>
    <x v="1"/>
  </r>
  <r>
    <s v="E084"/>
    <n v="38"/>
    <x v="1"/>
    <s v="Non-Travel"/>
    <x v="1"/>
    <n v="6"/>
    <n v="3"/>
    <s v="Medical"/>
    <n v="2"/>
    <s v="Female"/>
    <n v="1"/>
    <n v="2"/>
    <x v="0"/>
    <n v="4"/>
    <s v="Divorced"/>
    <s v="Corporate Banking"/>
    <s v="Delhi"/>
    <m/>
    <n v="5329"/>
    <n v="7"/>
    <s v="Yes"/>
    <x v="0"/>
    <n v="17"/>
    <n v="3"/>
    <n v="3"/>
    <n v="13"/>
    <n v="11"/>
    <n v="1"/>
    <n v="9"/>
    <n v="2"/>
    <n v="0"/>
    <n v="0"/>
    <n v="2"/>
    <n v="4"/>
    <x v="0"/>
  </r>
  <r>
    <s v="E085"/>
    <n v="34"/>
    <x v="1"/>
    <s v="Travel_Rarely"/>
    <x v="1"/>
    <n v="1"/>
    <n v="2"/>
    <s v="Medical"/>
    <n v="1"/>
    <s v="Male"/>
    <n v="3"/>
    <n v="2"/>
    <x v="1"/>
    <n v="2"/>
    <s v="Married"/>
    <s v="Risk"/>
    <s v="Hyderabad"/>
    <m/>
    <n v="4325"/>
    <n v="1"/>
    <s v="No"/>
    <x v="0"/>
    <n v="5"/>
    <n v="2"/>
    <n v="3"/>
    <n v="5"/>
    <n v="2"/>
    <n v="1"/>
    <n v="3"/>
    <n v="2"/>
    <n v="0"/>
    <n v="0"/>
    <n v="0"/>
    <n v="2"/>
    <x v="1"/>
  </r>
  <r>
    <s v="E086"/>
    <n v="56"/>
    <x v="1"/>
    <s v="Travel_Rarely"/>
    <x v="1"/>
    <n v="7"/>
    <n v="3"/>
    <s v="Life Sciences"/>
    <n v="4"/>
    <s v="Male"/>
    <n v="1"/>
    <n v="3"/>
    <x v="1"/>
    <n v="4"/>
    <s v="Single"/>
    <s v="Risk"/>
    <s v="Bangalore"/>
    <m/>
    <n v="7260"/>
    <n v="4"/>
    <s v="No"/>
    <x v="0"/>
    <n v="37"/>
    <n v="3"/>
    <n v="2"/>
    <n v="6"/>
    <n v="4"/>
    <n v="0"/>
    <n v="2"/>
    <n v="2"/>
    <n v="0"/>
    <n v="0"/>
    <n v="0"/>
    <n v="2"/>
    <x v="1"/>
  </r>
  <r>
    <s v="E087"/>
    <n v="23"/>
    <x v="1"/>
    <s v="Travel_Rarely"/>
    <x v="0"/>
    <n v="2"/>
    <n v="1"/>
    <s v="Technical Degree"/>
    <n v="3"/>
    <s v="Male"/>
    <n v="3"/>
    <n v="1"/>
    <x v="1"/>
    <n v="1"/>
    <s v="Divorced"/>
    <s v="Retail Banking"/>
    <s v="Bangalore"/>
    <m/>
    <n v="2322"/>
    <n v="3"/>
    <s v="No"/>
    <x v="0"/>
    <n v="3"/>
    <n v="3"/>
    <n v="3"/>
    <n v="0"/>
    <n v="0"/>
    <n v="0"/>
    <n v="0"/>
    <n v="2"/>
    <n v="0"/>
    <n v="0"/>
    <n v="0"/>
    <n v="2"/>
    <x v="1"/>
  </r>
  <r>
    <s v="E088"/>
    <n v="51"/>
    <x v="1"/>
    <s v="Travel_Rarely"/>
    <x v="1"/>
    <n v="9"/>
    <n v="4"/>
    <s v="Life Sciences"/>
    <n v="4"/>
    <s v="Male"/>
    <n v="3"/>
    <n v="1"/>
    <x v="0"/>
    <n v="4"/>
    <s v="Married"/>
    <s v="Corporate Banking"/>
    <s v="Hyderabad"/>
    <m/>
    <n v="2075"/>
    <n v="3"/>
    <s v="No"/>
    <x v="1"/>
    <n v="10"/>
    <n v="4"/>
    <n v="3"/>
    <n v="4"/>
    <n v="2"/>
    <n v="0"/>
    <n v="3"/>
    <n v="2"/>
    <n v="2"/>
    <n v="0"/>
    <n v="0"/>
    <n v="4"/>
    <x v="0"/>
  </r>
  <r>
    <s v="E089"/>
    <n v="30"/>
    <x v="1"/>
    <s v="Travel_Rarely"/>
    <x v="1"/>
    <n v="2"/>
    <n v="3"/>
    <s v="Life Sciences"/>
    <n v="3"/>
    <s v="Male"/>
    <n v="2"/>
    <n v="2"/>
    <x v="1"/>
    <n v="4"/>
    <s v="Married"/>
    <s v="Corporate Banking"/>
    <s v="Mumbai"/>
    <m/>
    <n v="4152"/>
    <n v="1"/>
    <s v="No"/>
    <x v="0"/>
    <n v="11"/>
    <n v="3"/>
    <n v="3"/>
    <n v="11"/>
    <n v="10"/>
    <n v="10"/>
    <n v="8"/>
    <n v="2"/>
    <n v="0"/>
    <n v="0"/>
    <n v="0"/>
    <n v="2"/>
    <x v="1"/>
  </r>
  <r>
    <s v="E090"/>
    <n v="46"/>
    <x v="0"/>
    <s v="Travel_Rarely"/>
    <x v="0"/>
    <n v="9"/>
    <n v="2"/>
    <s v="Medical"/>
    <n v="3"/>
    <s v="Male"/>
    <n v="2"/>
    <n v="3"/>
    <x v="0"/>
    <n v="4"/>
    <s v="Single"/>
    <s v="Risk"/>
    <s v="Bangalore"/>
    <m/>
    <n v="9619"/>
    <n v="1"/>
    <s v="No"/>
    <x v="0"/>
    <n v="9"/>
    <n v="3"/>
    <n v="3"/>
    <n v="9"/>
    <n v="8"/>
    <n v="4"/>
    <n v="7"/>
    <n v="2"/>
    <n v="0"/>
    <n v="0"/>
    <n v="0"/>
    <n v="2"/>
    <x v="1"/>
  </r>
  <r>
    <s v="E091"/>
    <n v="40"/>
    <x v="1"/>
    <s v="Travel_Frequently"/>
    <x v="1"/>
    <n v="1"/>
    <n v="4"/>
    <s v="Life Sciences"/>
    <n v="3"/>
    <s v="Male"/>
    <n v="2"/>
    <n v="4"/>
    <x v="1"/>
    <n v="2"/>
    <s v="Married"/>
    <s v="Risk"/>
    <s v="Delhi"/>
    <m/>
    <n v="13503"/>
    <n v="1"/>
    <s v="No"/>
    <x v="1"/>
    <n v="22"/>
    <n v="3"/>
    <n v="2"/>
    <n v="22"/>
    <n v="3"/>
    <n v="11"/>
    <n v="11"/>
    <n v="0"/>
    <n v="0"/>
    <n v="0"/>
    <n v="0"/>
    <n v="0"/>
    <x v="1"/>
  </r>
  <r>
    <s v="E092"/>
    <n v="51"/>
    <x v="1"/>
    <s v="Travel_Rarely"/>
    <x v="0"/>
    <n v="21"/>
    <n v="4"/>
    <s v="Marketing"/>
    <n v="3"/>
    <s v="Male"/>
    <n v="3"/>
    <n v="2"/>
    <x v="0"/>
    <n v="4"/>
    <s v="Single"/>
    <s v="Retail Banking"/>
    <s v="Hyderabad"/>
    <m/>
    <n v="5441"/>
    <n v="0"/>
    <s v="Yes"/>
    <x v="1"/>
    <n v="11"/>
    <n v="2"/>
    <n v="1"/>
    <n v="10"/>
    <n v="7"/>
    <n v="1"/>
    <n v="0"/>
    <n v="2"/>
    <n v="0"/>
    <n v="0"/>
    <n v="2"/>
    <n v="4"/>
    <x v="0"/>
  </r>
  <r>
    <s v="E093"/>
    <n v="30"/>
    <x v="1"/>
    <s v="Travel_Rarely"/>
    <x v="0"/>
    <n v="4"/>
    <n v="2"/>
    <s v="Medical"/>
    <n v="3"/>
    <s v="Female"/>
    <n v="2"/>
    <n v="2"/>
    <x v="0"/>
    <n v="2"/>
    <s v="Divorced"/>
    <s v="Retail Banking"/>
    <s v="Bangalore"/>
    <m/>
    <n v="5209"/>
    <n v="1"/>
    <s v="Yes"/>
    <x v="0"/>
    <n v="11"/>
    <n v="4"/>
    <n v="2"/>
    <n v="11"/>
    <n v="8"/>
    <n v="2"/>
    <n v="7"/>
    <n v="2"/>
    <n v="0"/>
    <n v="0"/>
    <n v="2"/>
    <n v="4"/>
    <x v="0"/>
  </r>
  <r>
    <s v="E094"/>
    <n v="46"/>
    <x v="1"/>
    <s v="Travel_Frequently"/>
    <x v="1"/>
    <n v="1"/>
    <n v="3"/>
    <s v="Medical"/>
    <n v="3"/>
    <s v="Male"/>
    <n v="2"/>
    <n v="3"/>
    <x v="1"/>
    <n v="1"/>
    <s v="Married"/>
    <s v="Risk"/>
    <s v="Delhi"/>
    <m/>
    <n v="10673"/>
    <n v="2"/>
    <s v="Yes"/>
    <x v="0"/>
    <n v="21"/>
    <n v="5"/>
    <n v="2"/>
    <n v="10"/>
    <n v="9"/>
    <n v="9"/>
    <n v="5"/>
    <n v="0"/>
    <n v="0"/>
    <n v="0"/>
    <n v="2"/>
    <n v="2"/>
    <x v="1"/>
  </r>
  <r>
    <s v="E095"/>
    <n v="32"/>
    <x v="1"/>
    <s v="Travel_Rarely"/>
    <x v="0"/>
    <n v="6"/>
    <n v="4"/>
    <s v="Medical"/>
    <n v="2"/>
    <s v="Male"/>
    <n v="3"/>
    <n v="2"/>
    <x v="0"/>
    <n v="3"/>
    <s v="Single"/>
    <s v="Corporate Banking"/>
    <s v="Hyderabad"/>
    <m/>
    <n v="5010"/>
    <n v="1"/>
    <s v="No"/>
    <x v="0"/>
    <n v="12"/>
    <n v="0"/>
    <n v="3"/>
    <n v="11"/>
    <n v="8"/>
    <n v="5"/>
    <n v="7"/>
    <n v="2"/>
    <n v="0"/>
    <n v="0"/>
    <n v="0"/>
    <n v="2"/>
    <x v="1"/>
  </r>
  <r>
    <s v="E096"/>
    <n v="54"/>
    <x v="1"/>
    <s v="Travel_Rarely"/>
    <x v="1"/>
    <n v="2"/>
    <n v="4"/>
    <s v="Technical Degree"/>
    <n v="1"/>
    <s v="Female"/>
    <n v="3"/>
    <n v="3"/>
    <x v="1"/>
    <n v="3"/>
    <s v="Married"/>
    <s v="Retail Banking"/>
    <s v="Bangalore"/>
    <m/>
    <n v="13549"/>
    <n v="9"/>
    <s v="No"/>
    <x v="0"/>
    <n v="16"/>
    <n v="5"/>
    <n v="1"/>
    <n v="4"/>
    <n v="3"/>
    <n v="0"/>
    <n v="3"/>
    <n v="0"/>
    <n v="2"/>
    <n v="0"/>
    <n v="0"/>
    <n v="2"/>
    <x v="1"/>
  </r>
  <r>
    <s v="E097"/>
    <n v="24"/>
    <x v="1"/>
    <s v="Travel_Rarely"/>
    <x v="0"/>
    <n v="3"/>
    <n v="2"/>
    <s v="Other"/>
    <n v="1"/>
    <s v="Female"/>
    <n v="3"/>
    <n v="2"/>
    <x v="0"/>
    <n v="3"/>
    <s v="Married"/>
    <s v="Retail Banking"/>
    <s v="Bangalore"/>
    <m/>
    <n v="4999"/>
    <n v="0"/>
    <s v="No"/>
    <x v="1"/>
    <n v="4"/>
    <n v="2"/>
    <n v="2"/>
    <n v="3"/>
    <n v="2"/>
    <n v="0"/>
    <n v="2"/>
    <n v="2"/>
    <n v="2"/>
    <n v="0"/>
    <n v="0"/>
    <n v="4"/>
    <x v="0"/>
  </r>
  <r>
    <s v="E098"/>
    <n v="28"/>
    <x v="1"/>
    <s v="Non-Travel"/>
    <x v="0"/>
    <n v="4"/>
    <n v="3"/>
    <s v="Medical"/>
    <n v="2"/>
    <s v="Male"/>
    <n v="3"/>
    <n v="2"/>
    <x v="0"/>
    <n v="3"/>
    <s v="Married"/>
    <s v="Corporate Banking"/>
    <s v="Hyderabad"/>
    <m/>
    <n v="4221"/>
    <n v="1"/>
    <s v="No"/>
    <x v="0"/>
    <n v="5"/>
    <n v="3"/>
    <n v="4"/>
    <n v="5"/>
    <n v="4"/>
    <n v="0"/>
    <n v="4"/>
    <n v="2"/>
    <n v="0"/>
    <n v="0"/>
    <n v="0"/>
    <n v="2"/>
    <x v="1"/>
  </r>
  <r>
    <s v="E099"/>
    <n v="58"/>
    <x v="1"/>
    <s v="Travel_Rarely"/>
    <x v="0"/>
    <n v="10"/>
    <n v="4"/>
    <s v="Medical"/>
    <n v="4"/>
    <s v="Male"/>
    <n v="3"/>
    <n v="4"/>
    <x v="0"/>
    <n v="3"/>
    <s v="Single"/>
    <s v="Corporate Banking"/>
    <s v="Mumbai"/>
    <m/>
    <n v="13872"/>
    <n v="0"/>
    <s v="No"/>
    <x v="0"/>
    <n v="38"/>
    <n v="1"/>
    <n v="2"/>
    <n v="37"/>
    <n v="10"/>
    <n v="1"/>
    <n v="8"/>
    <n v="0"/>
    <n v="0"/>
    <n v="0"/>
    <n v="0"/>
    <n v="0"/>
    <x v="1"/>
  </r>
  <r>
    <s v="E100"/>
    <n v="44"/>
    <x v="1"/>
    <s v="Non-Travel"/>
    <x v="1"/>
    <n v="23"/>
    <n v="3"/>
    <s v="Medical"/>
    <n v="2"/>
    <s v="Male"/>
    <n v="3"/>
    <n v="2"/>
    <x v="0"/>
    <n v="2"/>
    <s v="Married"/>
    <s v="Risk"/>
    <s v="Bangalore"/>
    <m/>
    <n v="2042"/>
    <n v="4"/>
    <s v="No"/>
    <x v="0"/>
    <n v="17"/>
    <n v="3"/>
    <n v="4"/>
    <n v="3"/>
    <n v="2"/>
    <n v="1"/>
    <n v="2"/>
    <n v="2"/>
    <n v="2"/>
    <n v="0"/>
    <n v="0"/>
    <n v="4"/>
    <x v="0"/>
  </r>
  <r>
    <s v="E101"/>
    <n v="37"/>
    <x v="0"/>
    <s v="Travel_Rarely"/>
    <x v="1"/>
    <n v="6"/>
    <n v="4"/>
    <s v="Risk Analyst"/>
    <n v="3"/>
    <s v="Male"/>
    <n v="3"/>
    <n v="1"/>
    <x v="1"/>
    <n v="1"/>
    <s v="Divorced"/>
    <s v="Risk"/>
    <s v="Delhi"/>
    <m/>
    <n v="2073"/>
    <n v="4"/>
    <s v="Yes"/>
    <x v="1"/>
    <n v="7"/>
    <n v="3"/>
    <n v="3"/>
    <n v="3"/>
    <n v="2"/>
    <n v="0"/>
    <n v="2"/>
    <n v="2"/>
    <n v="2"/>
    <n v="0"/>
    <n v="2"/>
    <n v="6"/>
    <x v="2"/>
  </r>
  <r>
    <s v="E102"/>
    <n v="32"/>
    <x v="1"/>
    <s v="Travel_Rarely"/>
    <x v="1"/>
    <n v="1"/>
    <n v="1"/>
    <s v="Life Sciences"/>
    <n v="4"/>
    <s v="Male"/>
    <n v="3"/>
    <n v="1"/>
    <x v="0"/>
    <n v="1"/>
    <s v="Single"/>
    <s v="Retail Banking"/>
    <s v="Hyderabad"/>
    <m/>
    <n v="2956"/>
    <n v="1"/>
    <s v="No"/>
    <x v="0"/>
    <n v="1"/>
    <n v="2"/>
    <n v="3"/>
    <n v="1"/>
    <n v="0"/>
    <n v="0"/>
    <n v="0"/>
    <n v="2"/>
    <n v="0"/>
    <n v="0"/>
    <n v="0"/>
    <n v="2"/>
    <x v="1"/>
  </r>
  <r>
    <s v="E103"/>
    <n v="20"/>
    <x v="0"/>
    <s v="Travel_Frequently"/>
    <x v="1"/>
    <n v="6"/>
    <n v="3"/>
    <s v="Life Sciences"/>
    <n v="4"/>
    <s v="Female"/>
    <n v="2"/>
    <n v="1"/>
    <x v="0"/>
    <n v="4"/>
    <s v="Single"/>
    <s v="Corporate Banking"/>
    <s v="Bangalore"/>
    <m/>
    <n v="2926"/>
    <n v="1"/>
    <s v="Yes"/>
    <x v="0"/>
    <n v="1"/>
    <n v="5"/>
    <n v="3"/>
    <n v="1"/>
    <n v="0"/>
    <n v="1"/>
    <n v="0"/>
    <n v="2"/>
    <n v="0"/>
    <n v="0"/>
    <n v="2"/>
    <n v="4"/>
    <x v="0"/>
  </r>
  <r>
    <s v="E104"/>
    <n v="34"/>
    <x v="1"/>
    <s v="Travel_Rarely"/>
    <x v="1"/>
    <n v="6"/>
    <n v="4"/>
    <s v="Other"/>
    <n v="1"/>
    <s v="Female"/>
    <n v="3"/>
    <n v="2"/>
    <x v="0"/>
    <n v="3"/>
    <s v="Single"/>
    <s v="Corporate Banking"/>
    <s v="Delhi"/>
    <m/>
    <n v="4809"/>
    <n v="1"/>
    <s v="No"/>
    <x v="0"/>
    <n v="16"/>
    <n v="3"/>
    <n v="3"/>
    <n v="16"/>
    <n v="13"/>
    <n v="2"/>
    <n v="10"/>
    <n v="2"/>
    <n v="0"/>
    <n v="0"/>
    <n v="0"/>
    <n v="2"/>
    <x v="1"/>
  </r>
  <r>
    <s v="E105"/>
    <n v="37"/>
    <x v="1"/>
    <s v="Non-Travel"/>
    <x v="1"/>
    <n v="2"/>
    <n v="2"/>
    <s v="Life Sciences"/>
    <n v="3"/>
    <s v="Male"/>
    <n v="2"/>
    <n v="2"/>
    <x v="1"/>
    <n v="4"/>
    <s v="Divorced"/>
    <s v="Risk"/>
    <s v="Hyderabad"/>
    <m/>
    <n v="5163"/>
    <n v="5"/>
    <s v="No"/>
    <x v="0"/>
    <n v="17"/>
    <n v="2"/>
    <n v="4"/>
    <n v="1"/>
    <n v="0"/>
    <n v="0"/>
    <n v="0"/>
    <n v="2"/>
    <n v="0"/>
    <n v="0"/>
    <n v="0"/>
    <n v="2"/>
    <x v="1"/>
  </r>
  <r>
    <s v="E106"/>
    <n v="59"/>
    <x v="1"/>
    <s v="Non-Travel"/>
    <x v="2"/>
    <n v="2"/>
    <n v="4"/>
    <s v="Operations"/>
    <n v="3"/>
    <s v="Female"/>
    <n v="2"/>
    <n v="5"/>
    <x v="2"/>
    <n v="4"/>
    <s v="Married"/>
    <s v="Risk"/>
    <s v="Bangalore"/>
    <m/>
    <n v="18844"/>
    <n v="9"/>
    <s v="No"/>
    <x v="1"/>
    <n v="30"/>
    <n v="3"/>
    <n v="3"/>
    <n v="3"/>
    <n v="2"/>
    <n v="2"/>
    <n v="2"/>
    <n v="0"/>
    <n v="2"/>
    <n v="0"/>
    <n v="0"/>
    <n v="2"/>
    <x v="1"/>
  </r>
  <r>
    <s v="E107"/>
    <n v="50"/>
    <x v="1"/>
    <s v="Travel_Frequently"/>
    <x v="1"/>
    <n v="1"/>
    <n v="3"/>
    <s v="Life Sciences"/>
    <n v="1"/>
    <s v="Female"/>
    <n v="3"/>
    <n v="5"/>
    <x v="1"/>
    <n v="2"/>
    <s v="Married"/>
    <s v="Corporate Banking"/>
    <s v="Bangalore"/>
    <m/>
    <n v="18172"/>
    <n v="3"/>
    <s v="Yes"/>
    <x v="3"/>
    <n v="28"/>
    <n v="1"/>
    <n v="2"/>
    <n v="8"/>
    <n v="3"/>
    <n v="0"/>
    <n v="7"/>
    <n v="0"/>
    <n v="0"/>
    <n v="3"/>
    <n v="2"/>
    <n v="5"/>
    <x v="0"/>
  </r>
  <r>
    <s v="E108"/>
    <n v="25"/>
    <x v="0"/>
    <s v="Travel_Rarely"/>
    <x v="0"/>
    <n v="5"/>
    <n v="3"/>
    <s v="Marketing"/>
    <n v="3"/>
    <s v="Male"/>
    <n v="2"/>
    <n v="2"/>
    <x v="0"/>
    <n v="3"/>
    <s v="Single"/>
    <s v="Risk"/>
    <s v="Hyderabad"/>
    <m/>
    <n v="5744"/>
    <n v="1"/>
    <s v="Yes"/>
    <x v="2"/>
    <n v="6"/>
    <n v="1"/>
    <n v="3"/>
    <n v="6"/>
    <n v="4"/>
    <n v="0"/>
    <n v="3"/>
    <n v="2"/>
    <n v="0"/>
    <n v="3"/>
    <n v="2"/>
    <n v="7"/>
    <x v="2"/>
  </r>
  <r>
    <s v="E109"/>
    <n v="25"/>
    <x v="1"/>
    <s v="Travel_Rarely"/>
    <x v="1"/>
    <n v="7"/>
    <n v="1"/>
    <s v="Medical"/>
    <n v="4"/>
    <s v="Male"/>
    <n v="2"/>
    <n v="1"/>
    <x v="0"/>
    <n v="4"/>
    <s v="Married"/>
    <s v="Risk"/>
    <s v="Mumbai"/>
    <m/>
    <n v="2889"/>
    <n v="1"/>
    <s v="No"/>
    <x v="0"/>
    <n v="2"/>
    <n v="2"/>
    <n v="3"/>
    <n v="2"/>
    <n v="2"/>
    <n v="2"/>
    <n v="1"/>
    <n v="2"/>
    <n v="2"/>
    <n v="0"/>
    <n v="0"/>
    <n v="4"/>
    <x v="0"/>
  </r>
  <r>
    <s v="E110"/>
    <n v="22"/>
    <x v="1"/>
    <s v="Travel_Rarely"/>
    <x v="1"/>
    <n v="15"/>
    <n v="3"/>
    <s v="Medical"/>
    <n v="2"/>
    <s v="Female"/>
    <n v="3"/>
    <n v="1"/>
    <x v="0"/>
    <n v="4"/>
    <s v="Single"/>
    <s v="Retail Banking"/>
    <s v="Bangalore"/>
    <m/>
    <n v="2871"/>
    <n v="1"/>
    <s v="No"/>
    <x v="0"/>
    <n v="1"/>
    <n v="5"/>
    <n v="3"/>
    <n v="0"/>
    <n v="0"/>
    <n v="0"/>
    <n v="0"/>
    <n v="2"/>
    <n v="0"/>
    <n v="0"/>
    <n v="0"/>
    <n v="2"/>
    <x v="1"/>
  </r>
  <r>
    <s v="E111"/>
    <n v="51"/>
    <x v="1"/>
    <s v="Travel_Frequently"/>
    <x v="1"/>
    <n v="1"/>
    <n v="4"/>
    <s v="Medical"/>
    <n v="1"/>
    <s v="Female"/>
    <n v="2"/>
    <n v="3"/>
    <x v="1"/>
    <n v="1"/>
    <s v="Single"/>
    <s v="Corporate Banking"/>
    <s v="Delhi"/>
    <m/>
    <n v="7484"/>
    <n v="3"/>
    <s v="No"/>
    <x v="1"/>
    <n v="23"/>
    <n v="1"/>
    <n v="2"/>
    <n v="13"/>
    <n v="12"/>
    <n v="12"/>
    <n v="8"/>
    <n v="2"/>
    <n v="0"/>
    <n v="0"/>
    <n v="0"/>
    <n v="2"/>
    <x v="1"/>
  </r>
  <r>
    <s v="E112"/>
    <n v="34"/>
    <x v="0"/>
    <s v="Travel_Frequently"/>
    <x v="1"/>
    <n v="7"/>
    <n v="3"/>
    <s v="Life Sciences"/>
    <n v="1"/>
    <s v="Male"/>
    <n v="1"/>
    <n v="2"/>
    <x v="0"/>
    <n v="3"/>
    <s v="Single"/>
    <s v="Corporate Banking"/>
    <s v="Mumbai"/>
    <m/>
    <n v="6074"/>
    <n v="1"/>
    <s v="Yes"/>
    <x v="2"/>
    <n v="9"/>
    <n v="3"/>
    <n v="3"/>
    <n v="9"/>
    <n v="7"/>
    <n v="0"/>
    <n v="6"/>
    <n v="2"/>
    <n v="0"/>
    <n v="3"/>
    <n v="2"/>
    <n v="7"/>
    <x v="2"/>
  </r>
  <r>
    <s v="E113"/>
    <n v="54"/>
    <x v="1"/>
    <s v="Non-Travel"/>
    <x v="2"/>
    <n v="26"/>
    <n v="3"/>
    <s v="Operations"/>
    <n v="4"/>
    <s v="Female"/>
    <n v="4"/>
    <n v="4"/>
    <x v="2"/>
    <n v="4"/>
    <s v="Single"/>
    <s v="Risk"/>
    <s v="Bangalore"/>
    <m/>
    <n v="17328"/>
    <n v="2"/>
    <s v="Yes"/>
    <x v="3"/>
    <n v="23"/>
    <n v="3"/>
    <n v="3"/>
    <n v="5"/>
    <n v="3"/>
    <n v="4"/>
    <n v="4"/>
    <n v="0"/>
    <n v="0"/>
    <n v="3"/>
    <n v="2"/>
    <n v="5"/>
    <x v="0"/>
  </r>
  <r>
    <s v="E114"/>
    <n v="24"/>
    <x v="1"/>
    <s v="Travel_Rarely"/>
    <x v="1"/>
    <n v="18"/>
    <n v="1"/>
    <s v="Life Sciences"/>
    <n v="2"/>
    <s v="Male"/>
    <n v="3"/>
    <n v="1"/>
    <x v="0"/>
    <n v="3"/>
    <s v="Married"/>
    <s v="Risk"/>
    <s v="Delhi"/>
    <m/>
    <n v="2774"/>
    <n v="0"/>
    <s v="No"/>
    <x v="0"/>
    <n v="6"/>
    <n v="2"/>
    <n v="3"/>
    <n v="5"/>
    <n v="3"/>
    <n v="1"/>
    <n v="2"/>
    <n v="2"/>
    <n v="0"/>
    <n v="0"/>
    <n v="0"/>
    <n v="2"/>
    <x v="1"/>
  </r>
  <r>
    <s v="E115"/>
    <n v="34"/>
    <x v="1"/>
    <s v="Travel_Rarely"/>
    <x v="1"/>
    <n v="6"/>
    <n v="4"/>
    <s v="Life Sciences"/>
    <n v="3"/>
    <s v="Female"/>
    <n v="2"/>
    <n v="2"/>
    <x v="0"/>
    <n v="2"/>
    <s v="Divorced"/>
    <s v="Retail Banking"/>
    <s v="Hyderabad"/>
    <m/>
    <n v="4505"/>
    <n v="6"/>
    <s v="No"/>
    <x v="0"/>
    <n v="12"/>
    <n v="3"/>
    <n v="3"/>
    <n v="1"/>
    <n v="0"/>
    <n v="0"/>
    <n v="0"/>
    <n v="2"/>
    <n v="0"/>
    <n v="0"/>
    <n v="0"/>
    <n v="2"/>
    <x v="1"/>
  </r>
  <r>
    <s v="E116"/>
    <n v="37"/>
    <x v="1"/>
    <s v="Travel_Rarely"/>
    <x v="0"/>
    <n v="3"/>
    <n v="3"/>
    <s v="Life Sciences"/>
    <n v="3"/>
    <s v="Male"/>
    <n v="3"/>
    <n v="3"/>
    <x v="0"/>
    <n v="4"/>
    <s v="Single"/>
    <s v="Retail Banking"/>
    <s v="Bangalore"/>
    <m/>
    <n v="7428"/>
    <n v="2"/>
    <s v="No"/>
    <x v="0"/>
    <n v="12"/>
    <n v="3"/>
    <n v="3"/>
    <n v="5"/>
    <n v="3"/>
    <n v="1"/>
    <n v="3"/>
    <n v="2"/>
    <n v="0"/>
    <n v="0"/>
    <n v="0"/>
    <n v="2"/>
    <x v="1"/>
  </r>
  <r>
    <s v="E117"/>
    <n v="34"/>
    <x v="1"/>
    <s v="Travel_Rarely"/>
    <x v="1"/>
    <n v="5"/>
    <n v="3"/>
    <s v="Medical"/>
    <n v="3"/>
    <s v="Female"/>
    <n v="2"/>
    <n v="3"/>
    <x v="2"/>
    <n v="1"/>
    <s v="Single"/>
    <s v="Risk"/>
    <s v="Bangalore"/>
    <m/>
    <n v="11631"/>
    <n v="2"/>
    <s v="No"/>
    <x v="0"/>
    <n v="14"/>
    <n v="6"/>
    <n v="3"/>
    <n v="11"/>
    <n v="10"/>
    <n v="5"/>
    <n v="8"/>
    <n v="0"/>
    <n v="0"/>
    <n v="0"/>
    <n v="0"/>
    <n v="0"/>
    <x v="1"/>
  </r>
  <r>
    <s v="E118"/>
    <n v="36"/>
    <x v="1"/>
    <s v="Travel_Frequently"/>
    <x v="0"/>
    <n v="11"/>
    <n v="2"/>
    <s v="Technical Degree"/>
    <n v="2"/>
    <s v="Female"/>
    <n v="3"/>
    <n v="3"/>
    <x v="0"/>
    <n v="4"/>
    <s v="Married"/>
    <s v="Corporate Banking"/>
    <s v="Hyderabad"/>
    <m/>
    <n v="9738"/>
    <n v="0"/>
    <s v="No"/>
    <x v="0"/>
    <n v="10"/>
    <n v="6"/>
    <n v="3"/>
    <n v="9"/>
    <n v="7"/>
    <n v="2"/>
    <n v="8"/>
    <n v="2"/>
    <n v="0"/>
    <n v="0"/>
    <n v="0"/>
    <n v="2"/>
    <x v="1"/>
  </r>
  <r>
    <s v="E119"/>
    <n v="36"/>
    <x v="1"/>
    <s v="Travel_Rarely"/>
    <x v="1"/>
    <n v="3"/>
    <n v="2"/>
    <s v="Life Sciences"/>
    <n v="1"/>
    <s v="Female"/>
    <n v="3"/>
    <n v="1"/>
    <x v="0"/>
    <n v="4"/>
    <s v="Divorced"/>
    <s v="Retail Banking"/>
    <s v="Mumbai"/>
    <m/>
    <n v="2835"/>
    <n v="5"/>
    <s v="No"/>
    <x v="1"/>
    <n v="7"/>
    <n v="2"/>
    <n v="3"/>
    <n v="1"/>
    <n v="0"/>
    <n v="0"/>
    <n v="0"/>
    <n v="2"/>
    <n v="0"/>
    <n v="0"/>
    <n v="0"/>
    <n v="2"/>
    <x v="1"/>
  </r>
  <r>
    <s v="E120"/>
    <n v="43"/>
    <x v="1"/>
    <s v="Travel_Frequently"/>
    <x v="0"/>
    <n v="26"/>
    <n v="2"/>
    <s v="Life Sciences"/>
    <n v="3"/>
    <s v="Male"/>
    <n v="3"/>
    <n v="4"/>
    <x v="2"/>
    <n v="4"/>
    <s v="Married"/>
    <s v="Retail Banking"/>
    <s v="Bangalore"/>
    <m/>
    <n v="16959"/>
    <n v="1"/>
    <s v="Yes"/>
    <x v="0"/>
    <n v="25"/>
    <n v="3"/>
    <n v="4"/>
    <n v="25"/>
    <n v="12"/>
    <n v="4"/>
    <n v="12"/>
    <n v="0"/>
    <n v="0"/>
    <n v="0"/>
    <n v="2"/>
    <n v="2"/>
    <x v="1"/>
  </r>
  <r>
    <s v="E121"/>
    <n v="30"/>
    <x v="1"/>
    <s v="Travel_Frequently"/>
    <x v="1"/>
    <n v="23"/>
    <n v="3"/>
    <s v="Life Sciences"/>
    <n v="1"/>
    <s v="Male"/>
    <n v="1"/>
    <n v="1"/>
    <x v="0"/>
    <n v="3"/>
    <s v="Divorced"/>
    <s v="Corporate Banking"/>
    <s v="Delhi"/>
    <m/>
    <n v="2613"/>
    <n v="1"/>
    <s v="No"/>
    <x v="1"/>
    <n v="10"/>
    <n v="2"/>
    <n v="2"/>
    <n v="10"/>
    <n v="7"/>
    <n v="0"/>
    <n v="9"/>
    <n v="2"/>
    <n v="0"/>
    <n v="0"/>
    <n v="0"/>
    <n v="2"/>
    <x v="1"/>
  </r>
  <r>
    <s v="E122"/>
    <n v="33"/>
    <x v="1"/>
    <s v="Non-Travel"/>
    <x v="0"/>
    <n v="22"/>
    <n v="2"/>
    <s v="Marketing"/>
    <n v="3"/>
    <s v="Male"/>
    <n v="3"/>
    <n v="2"/>
    <x v="0"/>
    <n v="2"/>
    <s v="Married"/>
    <s v="Corporate Banking"/>
    <s v="Hyderabad"/>
    <m/>
    <n v="6146"/>
    <n v="0"/>
    <s v="No"/>
    <x v="0"/>
    <n v="8"/>
    <n v="2"/>
    <n v="4"/>
    <n v="7"/>
    <n v="7"/>
    <n v="0"/>
    <n v="7"/>
    <n v="2"/>
    <n v="0"/>
    <n v="0"/>
    <n v="0"/>
    <n v="2"/>
    <x v="1"/>
  </r>
  <r>
    <s v="E123"/>
    <n v="56"/>
    <x v="0"/>
    <s v="Travel_Rarely"/>
    <x v="1"/>
    <n v="14"/>
    <n v="4"/>
    <s v="Life Sciences"/>
    <n v="2"/>
    <s v="Female"/>
    <n v="3"/>
    <n v="1"/>
    <x v="0"/>
    <n v="2"/>
    <s v="Married"/>
    <s v="Risk"/>
    <s v="Bangalore"/>
    <m/>
    <n v="4963"/>
    <n v="9"/>
    <s v="Yes"/>
    <x v="0"/>
    <n v="7"/>
    <n v="2"/>
    <n v="3"/>
    <n v="5"/>
    <n v="4"/>
    <n v="4"/>
    <n v="3"/>
    <n v="2"/>
    <n v="0"/>
    <n v="0"/>
    <n v="2"/>
    <n v="4"/>
    <x v="0"/>
  </r>
  <r>
    <s v="E124"/>
    <n v="51"/>
    <x v="1"/>
    <s v="Travel_Rarely"/>
    <x v="1"/>
    <n v="6"/>
    <n v="3"/>
    <s v="Life Sciences"/>
    <n v="1"/>
    <s v="Male"/>
    <n v="3"/>
    <n v="5"/>
    <x v="1"/>
    <n v="3"/>
    <s v="Single"/>
    <s v="Risk"/>
    <s v="Bangalore"/>
    <m/>
    <n v="19537"/>
    <n v="7"/>
    <s v="No"/>
    <x v="0"/>
    <n v="23"/>
    <n v="5"/>
    <n v="3"/>
    <n v="20"/>
    <n v="18"/>
    <n v="15"/>
    <n v="15"/>
    <n v="0"/>
    <n v="0"/>
    <n v="0"/>
    <n v="0"/>
    <n v="0"/>
    <x v="1"/>
  </r>
  <r>
    <s v="E125"/>
    <n v="31"/>
    <x v="0"/>
    <s v="Travel_Rarely"/>
    <x v="0"/>
    <n v="6"/>
    <n v="4"/>
    <s v="Life Sciences"/>
    <n v="2"/>
    <s v="Male"/>
    <n v="1"/>
    <n v="2"/>
    <x v="0"/>
    <n v="3"/>
    <s v="Married"/>
    <s v="Retail Banking"/>
    <s v="Hyderabad"/>
    <m/>
    <n v="6172"/>
    <n v="4"/>
    <s v="Yes"/>
    <x v="0"/>
    <n v="12"/>
    <n v="3"/>
    <n v="2"/>
    <n v="7"/>
    <n v="7"/>
    <n v="7"/>
    <n v="7"/>
    <n v="2"/>
    <n v="0"/>
    <n v="0"/>
    <n v="2"/>
    <n v="4"/>
    <x v="0"/>
  </r>
  <r>
    <s v="E126"/>
    <n v="26"/>
    <x v="1"/>
    <s v="Travel_Rarely"/>
    <x v="1"/>
    <n v="6"/>
    <n v="3"/>
    <s v="Other"/>
    <n v="3"/>
    <s v="Female"/>
    <n v="2"/>
    <n v="1"/>
    <x v="0"/>
    <n v="2"/>
    <s v="Married"/>
    <s v="Corporate Banking"/>
    <s v="Mumbai"/>
    <m/>
    <n v="2368"/>
    <n v="1"/>
    <s v="No"/>
    <x v="0"/>
    <n v="5"/>
    <n v="3"/>
    <n v="2"/>
    <n v="5"/>
    <n v="4"/>
    <n v="4"/>
    <n v="3"/>
    <n v="2"/>
    <n v="0"/>
    <n v="0"/>
    <n v="0"/>
    <n v="2"/>
    <x v="1"/>
  </r>
  <r>
    <s v="E127"/>
    <n v="58"/>
    <x v="0"/>
    <s v="Travel_Rarely"/>
    <x v="1"/>
    <n v="23"/>
    <n v="4"/>
    <s v="Medical"/>
    <n v="4"/>
    <s v="Female"/>
    <n v="3"/>
    <n v="3"/>
    <x v="1"/>
    <n v="4"/>
    <s v="Married"/>
    <s v="Corporate Banking"/>
    <s v="Bangalore"/>
    <m/>
    <n v="10312"/>
    <n v="1"/>
    <s v="No"/>
    <x v="0"/>
    <n v="40"/>
    <n v="3"/>
    <n v="2"/>
    <n v="40"/>
    <n v="10"/>
    <n v="15"/>
    <n v="6"/>
    <n v="0"/>
    <n v="0"/>
    <n v="0"/>
    <n v="0"/>
    <n v="0"/>
    <x v="1"/>
  </r>
  <r>
    <s v="E128"/>
    <n v="19"/>
    <x v="0"/>
    <s v="Travel_Rarely"/>
    <x v="0"/>
    <n v="22"/>
    <n v="1"/>
    <s v="Marketing"/>
    <n v="4"/>
    <s v="Male"/>
    <n v="3"/>
    <n v="1"/>
    <x v="1"/>
    <n v="3"/>
    <s v="Single"/>
    <s v="Risk"/>
    <s v="Delhi"/>
    <m/>
    <n v="1675"/>
    <n v="1"/>
    <s v="Yes"/>
    <x v="0"/>
    <n v="0"/>
    <n v="2"/>
    <n v="2"/>
    <n v="0"/>
    <n v="0"/>
    <n v="0"/>
    <n v="0"/>
    <n v="2"/>
    <n v="0"/>
    <n v="0"/>
    <n v="2"/>
    <n v="4"/>
    <x v="0"/>
  </r>
  <r>
    <s v="E129"/>
    <n v="22"/>
    <x v="1"/>
    <s v="Travel_Rarely"/>
    <x v="1"/>
    <n v="2"/>
    <n v="1"/>
    <s v="Technical Degree"/>
    <n v="3"/>
    <s v="Male"/>
    <n v="3"/>
    <n v="1"/>
    <x v="0"/>
    <n v="4"/>
    <s v="Married"/>
    <s v="Risk"/>
    <s v="Hyderabad"/>
    <m/>
    <n v="2523"/>
    <n v="0"/>
    <s v="No"/>
    <x v="0"/>
    <n v="3"/>
    <n v="2"/>
    <n v="3"/>
    <n v="2"/>
    <n v="1"/>
    <n v="2"/>
    <n v="1"/>
    <n v="2"/>
    <n v="2"/>
    <n v="0"/>
    <n v="0"/>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E64A22-3B76-4948-A7EE-7023A1AFD12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D9" firstHeaderRow="1" firstDataRow="2" firstDataCol="1"/>
  <pivotFields count="35">
    <pivotField showAll="0"/>
    <pivotField showAll="0"/>
    <pivotField axis="axisCol" showAll="0">
      <items count="4">
        <item x="1"/>
        <item x="0"/>
        <item m="1" x="2"/>
        <item t="default"/>
      </items>
    </pivotField>
    <pivotField showAll="0"/>
    <pivotField showAll="0">
      <items count="7">
        <item x="2"/>
        <item x="0"/>
        <item x="1"/>
        <item m="1" x="3"/>
        <item m="1" x="4"/>
        <item m="1" x="5"/>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m="1" x="3"/>
        <item x="0"/>
        <item x="1"/>
        <item x="2"/>
        <item t="default"/>
      </items>
    </pivotField>
  </pivotFields>
  <rowFields count="1">
    <field x="34"/>
  </rowFields>
  <rowItems count="4">
    <i>
      <x v="1"/>
    </i>
    <i>
      <x v="2"/>
    </i>
    <i>
      <x v="3"/>
    </i>
    <i t="grand">
      <x/>
    </i>
  </rowItems>
  <colFields count="1">
    <field x="2"/>
  </colFields>
  <colItems count="3">
    <i>
      <x/>
    </i>
    <i>
      <x v="1"/>
    </i>
    <i t="grand">
      <x/>
    </i>
  </colItems>
  <dataFields count="1">
    <dataField name="Count of Salary" fld="18" subtotal="count" baseField="34" baseItem="0"/>
  </dataFields>
  <chartFormats count="4">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43CC51-50D4-4650-A9EC-2C91CE0AA2E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G8" firstHeaderRow="1" firstDataRow="2" firstDataCol="1"/>
  <pivotFields count="35">
    <pivotField dataField="1" showAll="0"/>
    <pivotField showAll="0"/>
    <pivotField axis="axisCol" showAll="0">
      <items count="4">
        <item x="1"/>
        <item x="0"/>
        <item m="1" x="2"/>
        <item t="default"/>
      </items>
    </pivotField>
    <pivotField showAll="0"/>
    <pivotField axis="axisRow" showAll="0">
      <items count="7">
        <item x="2"/>
        <item x="0"/>
        <item x="1"/>
        <item m="1" x="3"/>
        <item m="1" x="4"/>
        <item m="1" x="5"/>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2"/>
  </colFields>
  <colItems count="3">
    <i>
      <x/>
    </i>
    <i>
      <x v="1"/>
    </i>
    <i t="grand">
      <x/>
    </i>
  </colItems>
  <dataFields count="1">
    <dataField name="Count of Employee ID" fld="0" subtotal="count" baseField="0"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6BC34F-3A77-4CF1-BCA9-27126008A9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35">
    <pivotField showAll="0"/>
    <pivotField showAll="0"/>
    <pivotField axis="axisRow" dataField="1" showAll="0">
      <items count="4">
        <item x="1"/>
        <item x="0"/>
        <item m="1" x="2"/>
        <item t="default"/>
      </items>
    </pivotField>
    <pivotField showAll="0"/>
    <pivotField showAll="0">
      <items count="7">
        <item x="2"/>
        <item x="0"/>
        <item x="1"/>
        <item m="1" x="3"/>
        <item m="1" x="4"/>
        <item m="1" x="5"/>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Attrition" fld="2"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 count="1" selected="0">
            <x v="0"/>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BDCC9E-F718-4039-AE48-65584DFEF322}"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12:C18" firstHeaderRow="1" firstDataRow="2" firstDataCol="1"/>
  <pivotFields count="35">
    <pivotField showAll="0"/>
    <pivotField showAll="0"/>
    <pivotField axis="axisCol" showAll="0">
      <items count="4">
        <item x="1"/>
        <item x="0"/>
        <item h="1" m="1" x="2"/>
        <item t="default"/>
      </items>
    </pivotField>
    <pivotField showAll="0"/>
    <pivotField showAll="0">
      <items count="7">
        <item x="2"/>
        <item x="0"/>
        <item x="1"/>
        <item m="1" x="3"/>
        <item m="1" x="4"/>
        <item m="1" x="5"/>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5">
    <i>
      <x/>
    </i>
    <i>
      <x v="1"/>
    </i>
    <i>
      <x v="2"/>
    </i>
    <i>
      <x v="3"/>
    </i>
    <i t="grand">
      <x/>
    </i>
  </rowItems>
  <colFields count="1">
    <field x="2"/>
  </colFields>
  <colItems count="2">
    <i>
      <x/>
    </i>
    <i>
      <x v="1"/>
    </i>
  </colItems>
  <dataFields count="1">
    <dataField name="Count of Salary" fld="18" subtotal="count"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A9EF01-6654-44F4-97A2-E3BE9D6345A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12:F16" firstHeaderRow="1" firstDataRow="1" firstDataCol="1"/>
  <pivotFields count="35">
    <pivotField showAll="0"/>
    <pivotField showAll="0"/>
    <pivotField showAll="0"/>
    <pivotField showAll="0"/>
    <pivotField axis="axisRow" showAll="0">
      <items count="7">
        <item x="2"/>
        <item x="0"/>
        <item x="1"/>
        <item m="1" x="3"/>
        <item m="1" x="4"/>
        <item m="1" x="5"/>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Salary" fld="18" subtotal="average" baseField="4" baseItem="0" numFmtId="164"/>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A424567-F636-4C32-BEAA-C660E18995E9}" sourceName="Department">
  <pivotTables>
    <pivotTable tabId="3" name="PivotTable5"/>
    <pivotTable tabId="3" name="PivotTable1"/>
    <pivotTable tabId="3" name="PivotTable4"/>
    <pivotTable tabId="3" name="PivotTable6"/>
    <pivotTable tabId="2" name="PivotTable8"/>
  </pivotTables>
  <data>
    <tabular pivotCacheId="1363987743">
      <items count="6">
        <i x="2" s="1"/>
        <i x="0" s="1"/>
        <i x="1" s="1"/>
        <i x="3" s="1" nd="1"/>
        <i x="4"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EC4071EC-5522-4A0C-8D9A-DB51B241133B}" sourceName="JobRole">
  <pivotTables>
    <pivotTable tabId="3" name="PivotTable5"/>
    <pivotTable tabId="3" name="PivotTable1"/>
    <pivotTable tabId="3" name="PivotTable4"/>
    <pivotTable tabId="3" name="PivotTable6"/>
    <pivotTable tabId="2" name="PivotTable8"/>
  </pivotTables>
  <data>
    <tabular pivotCacheId="136398774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B536D8D-BF66-49B7-B395-AF9F0744F8F4}" cache="Slicer_Department" caption="Department" rowHeight="720000"/>
  <slicer name="JobRole" xr10:uid="{1313D8FF-98B4-4484-9DD8-EBA10A071A4E}" cache="Slicer_JobRole" caption="JobRole" rowHeight="72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2A1C2C-F7CD-4774-9FD4-BE4AF8004C57}" name="Table1" displayName="Table1" ref="A1:AI130" totalsRowShown="0" headerRowDxfId="34" dataDxfId="33">
  <autoFilter ref="A1:AI130" xr:uid="{EE2A1C2C-F7CD-4774-9FD4-BE4AF8004C57}"/>
  <tableColumns count="35">
    <tableColumn id="1" xr3:uid="{EE72F855-6FAB-4318-8940-6E3CF26C264A}" name="Employee ID"/>
    <tableColumn id="2" xr3:uid="{4FD0B302-6C43-44BC-BA7A-E66D4A6D6796}" name="Age" dataDxfId="32"/>
    <tableColumn id="3" xr3:uid="{08B6B9E2-4DF3-457D-B833-E6AEBA6B196A}" name="Attrition" dataDxfId="31"/>
    <tableColumn id="4" xr3:uid="{7D760AED-4F49-47D6-9CE2-7B42EAD50365}" name="BusinessTravel" dataDxfId="30"/>
    <tableColumn id="5" xr3:uid="{A538C2BF-97DD-4414-823C-F2D19FA4D914}" name="Department" dataDxfId="29"/>
    <tableColumn id="6" xr3:uid="{ADF8E8F0-A82F-4C3D-895A-4AB856EDBBFE}" name="DistanceFromHome" dataDxfId="28"/>
    <tableColumn id="7" xr3:uid="{337E4146-FBA1-4C6A-B9AB-5B66074CF110}" name="Education" dataDxfId="27"/>
    <tableColumn id="8" xr3:uid="{2919EFCC-3397-47D3-8DA7-E24D1D0779F5}" name="EducationField" dataDxfId="26"/>
    <tableColumn id="9" xr3:uid="{F4947337-19C4-4D96-8D4F-4045EBA34855}" name="EnvironmentSatisfaction" dataDxfId="25"/>
    <tableColumn id="10" xr3:uid="{5F9C630A-B48E-4CAC-8DFA-1909D62A4E7D}" name="Gender" dataDxfId="24"/>
    <tableColumn id="11" xr3:uid="{2100D478-E528-482C-AF9F-57B39B49DDB8}" name="JobInvolvement" dataDxfId="23"/>
    <tableColumn id="12" xr3:uid="{CE23316F-4EBF-4042-ABE3-B07D1346D9E1}" name="JobLevel" dataDxfId="22"/>
    <tableColumn id="13" xr3:uid="{13D59067-A948-48F2-BC0D-2F8C8A610CD9}" name="JobRole" dataDxfId="21"/>
    <tableColumn id="14" xr3:uid="{CA085A3D-C86A-47AB-B4FA-5F4B720800BD}" name="JobSatisfaction" dataDxfId="20"/>
    <tableColumn id="15" xr3:uid="{8A600388-B2F5-404F-89AC-559BC1EF51EC}" name="MaritalStatus" dataDxfId="19"/>
    <tableColumn id="16" xr3:uid="{8DDD7DF4-35CD-4CA0-A7C4-33077572503E}" name="Bank Unit"/>
    <tableColumn id="17" xr3:uid="{359CA245-2979-40D8-A7BD-DEA9D9742626}" name="Location" dataDxfId="18"/>
    <tableColumn id="18" xr3:uid="{1E66B847-D8E9-47BB-91CD-C1FD7DDA4671}" name="Risk Score" dataDxfId="17"/>
    <tableColumn id="19" xr3:uid="{B0645DC9-6637-4EF8-B484-2CC2AB615E61}" name="Salary" dataDxfId="16"/>
    <tableColumn id="20" xr3:uid="{BEBA4E8D-E020-4AC6-93B8-ADC6DD4B2A55}" name="NumCompaniesWorked" dataDxfId="15"/>
    <tableColumn id="21" xr3:uid="{E9634612-46F3-4772-8DC9-F6AE0197D8BD}" name="OverTime" dataDxfId="14"/>
    <tableColumn id="22" xr3:uid="{B6631211-FC66-4FE5-8400-A05CB9667A89}" name="PerformanceRating" dataDxfId="13"/>
    <tableColumn id="23" xr3:uid="{1FB18BC0-9D48-4C77-8511-4BC5AA3B9A11}" name="TotalExperience" dataDxfId="12"/>
    <tableColumn id="24" xr3:uid="{BC729269-8A64-4DEF-9D1B-BA1022F3114D}" name="TrainingTimesLastYear" dataDxfId="11"/>
    <tableColumn id="25" xr3:uid="{30FCB37F-D145-4706-BD1E-67A07FC52CF8}" name="WorkLifeBalance" dataDxfId="10"/>
    <tableColumn id="26" xr3:uid="{C53302AB-F823-4E50-ACA8-956F8F808DAB}" name="Tenure" dataDxfId="9"/>
    <tableColumn id="27" xr3:uid="{022E0512-08F7-45DD-8734-EA337AB33D75}" name="YearsInCurrentRole" dataDxfId="8"/>
    <tableColumn id="28" xr3:uid="{607C5C76-53C6-4422-8910-267E6700FABE}" name="YearsSinceLastPromotion" dataDxfId="7"/>
    <tableColumn id="29" xr3:uid="{24A97529-6B06-41FD-AAB1-DBFC8C7B830C}" name="YearsWithCurrBranch Manager" dataDxfId="6"/>
    <tableColumn id="30" xr3:uid="{FACF595A-6A26-47F0-A051-CAB4A25DDDDB}" name="Risk_Salary" dataDxfId="5">
      <calculatedColumnFormula>IF(Table1[[#This Row],[Salary]]&lt;10000,2,0)</calculatedColumnFormula>
    </tableColumn>
    <tableColumn id="31" xr3:uid="{C9AFC0FD-CE1D-443D-B1B9-EB0588BBFD36}" name="Risk_Tenure" dataDxfId="4">
      <calculatedColumnFormula>IF(AND(Table1[[#This Row],[Tenure]]&gt;=2,Table1[[#This Row],[Tenure]]&lt;=4),2,0)</calculatedColumnFormula>
    </tableColumn>
    <tableColumn id="32" xr3:uid="{B25FD817-6F18-4254-A274-977E01F11ABE}" name="Risk_Performance" dataDxfId="3">
      <calculatedColumnFormula>IF(Table1[[#This Row],[PerformanceRating]]&lt;=2,3,0)</calculatedColumnFormula>
    </tableColumn>
    <tableColumn id="33" xr3:uid="{22D58DB4-A69A-4C85-A762-ECCE494BBA6B}" name="Risk_Overtime" dataDxfId="2">
      <calculatedColumnFormula>IF(Table1[[#This Row],[OverTime]]="Yes",2,0)</calculatedColumnFormula>
    </tableColumn>
    <tableColumn id="34" xr3:uid="{BC8337BD-A451-460C-B0BE-C9EEF8519DAF}" name="Total_Risk_Score" dataDxfId="1">
      <calculatedColumnFormula>Table1[[#This Row],[Risk_Salary]]+Table1[[#This Row],[Risk_Tenure]]+Table1[[#This Row],[Risk_Performance]]+Table1[[#This Row],[Risk_Overtime]]</calculatedColumnFormula>
    </tableColumn>
    <tableColumn id="35" xr3:uid="{48618F9C-B5B7-4D88-BD1E-C19CFD95E804}" name="Risk_Category" dataDxfId="0">
      <calculatedColumnFormula>IF(Table1[[#This Row],[Total_Risk_Score]]&gt;=6,"High",IF(Table1[[#This Row],[Total_Risk_Score]]&gt;=3,"Medium","Low"))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4B75-78DC-45AE-A615-C6B8F64C4EBD}">
  <dimension ref="I14:T61"/>
  <sheetViews>
    <sheetView showGridLines="0" showRowColHeaders="0" zoomScale="41" workbookViewId="0">
      <selection activeCell="AE17" sqref="AE17"/>
    </sheetView>
  </sheetViews>
  <sheetFormatPr defaultRowHeight="14.5" x14ac:dyDescent="0.35"/>
  <sheetData>
    <row r="14" spans="20:20" x14ac:dyDescent="0.35">
      <c r="T14" s="11"/>
    </row>
    <row r="61" spans="9:9" x14ac:dyDescent="0.35">
      <c r="I61" t="s">
        <v>212</v>
      </c>
    </row>
  </sheetData>
  <sheetProtection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24146-D1ED-4774-B009-0173B83E4325}">
  <sheetPr>
    <tabColor rgb="FFFFFF00"/>
  </sheetPr>
  <dimension ref="B2:F6"/>
  <sheetViews>
    <sheetView showGridLines="0" zoomScale="71" workbookViewId="0">
      <selection activeCell="C30" sqref="C30"/>
    </sheetView>
  </sheetViews>
  <sheetFormatPr defaultRowHeight="14.5" x14ac:dyDescent="0.35"/>
  <cols>
    <col min="2" max="2" width="65.6328125" bestFit="1" customWidth="1"/>
    <col min="4" max="4" width="49.26953125" bestFit="1" customWidth="1"/>
  </cols>
  <sheetData>
    <row r="2" spans="2:6" ht="14.5" customHeight="1" x14ac:dyDescent="0.35">
      <c r="B2" s="17" t="s">
        <v>204</v>
      </c>
      <c r="D2" s="19" t="s">
        <v>205</v>
      </c>
      <c r="E2" s="19"/>
      <c r="F2" s="19"/>
    </row>
    <row r="3" spans="2:6" ht="14.5" customHeight="1" x14ac:dyDescent="0.35">
      <c r="B3" s="18"/>
      <c r="D3" s="19"/>
      <c r="E3" s="19"/>
      <c r="F3" s="19"/>
    </row>
    <row r="4" spans="2:6" ht="14.5" customHeight="1" x14ac:dyDescent="0.35">
      <c r="B4" s="18"/>
      <c r="D4" s="19"/>
      <c r="E4" s="19"/>
      <c r="F4" s="19"/>
    </row>
    <row r="5" spans="2:6" ht="14.5" customHeight="1" x14ac:dyDescent="0.35">
      <c r="B5" s="18"/>
      <c r="D5" s="19"/>
      <c r="E5" s="19"/>
      <c r="F5" s="19"/>
    </row>
    <row r="6" spans="2:6" ht="14.5" customHeight="1" x14ac:dyDescent="0.35">
      <c r="B6" s="18"/>
      <c r="D6" s="19"/>
      <c r="E6" s="19"/>
      <c r="F6" s="19"/>
    </row>
  </sheetData>
  <sheetProtection formatColumns="0" formatRows="0" insertColumns="0" insertRows="0" insertHyperlinks="0" deleteColumns="0" deleteRows="0" sort="0" autoFilter="0" pivotTables="0"/>
  <mergeCells count="2">
    <mergeCell ref="B2:B6"/>
    <mergeCell ref="D2:F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14FDF-2EDA-4892-B7B6-CF34E597742B}">
  <sheetPr>
    <tabColor rgb="FFC00000"/>
  </sheetPr>
  <dimension ref="A2:D9"/>
  <sheetViews>
    <sheetView showGridLines="0" workbookViewId="0">
      <selection activeCell="Q17" sqref="Q17"/>
    </sheetView>
  </sheetViews>
  <sheetFormatPr defaultRowHeight="14.5" x14ac:dyDescent="0.35"/>
  <cols>
    <col min="1" max="1" width="13.54296875" bestFit="1" customWidth="1"/>
    <col min="2" max="2" width="15.6328125" bestFit="1" customWidth="1"/>
    <col min="3" max="3" width="3.81640625" bestFit="1" customWidth="1"/>
    <col min="4" max="4" width="10.36328125" bestFit="1" customWidth="1"/>
    <col min="5" max="5" width="15.6328125" bestFit="1" customWidth="1"/>
    <col min="6" max="6" width="3.81640625" bestFit="1" customWidth="1"/>
    <col min="7" max="7" width="10.36328125" bestFit="1" customWidth="1"/>
  </cols>
  <sheetData>
    <row r="2" spans="1:4" ht="23.5" x14ac:dyDescent="0.55000000000000004">
      <c r="A2" s="16" t="s">
        <v>203</v>
      </c>
      <c r="B2" s="16"/>
      <c r="C2" s="16"/>
      <c r="D2" s="16"/>
    </row>
    <row r="4" spans="1:4" x14ac:dyDescent="0.35">
      <c r="A4" s="3" t="s">
        <v>194</v>
      </c>
      <c r="B4" s="3" t="s">
        <v>57</v>
      </c>
    </row>
    <row r="5" spans="1:4" x14ac:dyDescent="0.35">
      <c r="A5" s="3" t="s">
        <v>54</v>
      </c>
      <c r="B5" t="s">
        <v>26</v>
      </c>
      <c r="C5" t="s">
        <v>21</v>
      </c>
      <c r="D5" t="s">
        <v>55</v>
      </c>
    </row>
    <row r="6" spans="1:4" x14ac:dyDescent="0.35">
      <c r="A6" s="1" t="s">
        <v>201</v>
      </c>
      <c r="B6">
        <v>27</v>
      </c>
      <c r="C6">
        <v>9</v>
      </c>
      <c r="D6">
        <v>36</v>
      </c>
    </row>
    <row r="7" spans="1:4" x14ac:dyDescent="0.35">
      <c r="A7" s="1" t="s">
        <v>202</v>
      </c>
      <c r="B7">
        <v>70</v>
      </c>
      <c r="C7">
        <v>6</v>
      </c>
      <c r="D7">
        <v>76</v>
      </c>
    </row>
    <row r="8" spans="1:4" x14ac:dyDescent="0.35">
      <c r="A8" s="1" t="s">
        <v>211</v>
      </c>
      <c r="B8">
        <v>9</v>
      </c>
      <c r="C8">
        <v>8</v>
      </c>
      <c r="D8">
        <v>17</v>
      </c>
    </row>
    <row r="9" spans="1:4" x14ac:dyDescent="0.35">
      <c r="A9" s="1" t="s">
        <v>55</v>
      </c>
      <c r="B9">
        <v>106</v>
      </c>
      <c r="C9">
        <v>23</v>
      </c>
      <c r="D9">
        <v>129</v>
      </c>
    </row>
  </sheetData>
  <sheetProtection insertColumns="0" insertRows="0" deleteColumns="0" deleteRows="0" pivotTables="0"/>
  <mergeCells count="1">
    <mergeCell ref="A2:D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A9406-22B0-44C0-A8BD-3A1C940539FE}">
  <dimension ref="A2:G18"/>
  <sheetViews>
    <sheetView zoomScale="69" workbookViewId="0">
      <selection activeCell="E26" sqref="E26"/>
    </sheetView>
  </sheetViews>
  <sheetFormatPr defaultRowHeight="14.5" x14ac:dyDescent="0.35"/>
  <cols>
    <col min="1" max="1" width="13.6328125" bestFit="1" customWidth="1"/>
    <col min="2" max="2" width="21.453125" bestFit="1" customWidth="1"/>
    <col min="3" max="3" width="3.90625" bestFit="1" customWidth="1"/>
    <col min="4" max="4" width="34.08984375" bestFit="1" customWidth="1"/>
    <col min="5" max="5" width="26.1796875" bestFit="1" customWidth="1"/>
    <col min="6" max="6" width="15.08984375" bestFit="1" customWidth="1"/>
    <col min="7" max="7" width="10.36328125" bestFit="1" customWidth="1"/>
    <col min="8" max="8" width="3" customWidth="1"/>
    <col min="9" max="9" width="13.54296875" bestFit="1" customWidth="1"/>
    <col min="10" max="10" width="21.1796875" bestFit="1" customWidth="1"/>
    <col min="11" max="11" width="3.81640625" bestFit="1" customWidth="1"/>
    <col min="12" max="12" width="3.54296875" customWidth="1"/>
    <col min="13" max="13" width="26" bestFit="1" customWidth="1"/>
    <col min="14" max="14" width="15" bestFit="1" customWidth="1"/>
  </cols>
  <sheetData>
    <row r="2" spans="1:7" x14ac:dyDescent="0.35">
      <c r="A2" s="5" t="s">
        <v>192</v>
      </c>
      <c r="D2" s="5" t="s">
        <v>189</v>
      </c>
    </row>
    <row r="3" spans="1:7" x14ac:dyDescent="0.35">
      <c r="A3" s="3" t="s">
        <v>54</v>
      </c>
      <c r="B3" t="s">
        <v>56</v>
      </c>
      <c r="D3" s="3" t="s">
        <v>188</v>
      </c>
      <c r="E3" s="3" t="s">
        <v>57</v>
      </c>
    </row>
    <row r="4" spans="1:7" x14ac:dyDescent="0.35">
      <c r="A4" s="1" t="s">
        <v>26</v>
      </c>
      <c r="B4">
        <v>106</v>
      </c>
      <c r="D4" s="3" t="s">
        <v>54</v>
      </c>
      <c r="E4" t="s">
        <v>26</v>
      </c>
      <c r="F4" t="s">
        <v>21</v>
      </c>
      <c r="G4" t="s">
        <v>55</v>
      </c>
    </row>
    <row r="5" spans="1:7" x14ac:dyDescent="0.35">
      <c r="A5" s="1" t="s">
        <v>21</v>
      </c>
      <c r="B5">
        <v>23</v>
      </c>
      <c r="D5" s="1" t="s">
        <v>41</v>
      </c>
      <c r="E5">
        <v>2</v>
      </c>
      <c r="G5">
        <v>2</v>
      </c>
    </row>
    <row r="6" spans="1:7" x14ac:dyDescent="0.35">
      <c r="A6" s="1" t="s">
        <v>55</v>
      </c>
      <c r="B6">
        <v>129</v>
      </c>
      <c r="D6" s="1" t="s">
        <v>39</v>
      </c>
      <c r="E6">
        <v>26</v>
      </c>
      <c r="F6">
        <v>8</v>
      </c>
      <c r="G6">
        <v>34</v>
      </c>
    </row>
    <row r="7" spans="1:7" x14ac:dyDescent="0.35">
      <c r="D7" s="1" t="s">
        <v>40</v>
      </c>
      <c r="E7">
        <v>78</v>
      </c>
      <c r="F7">
        <v>15</v>
      </c>
      <c r="G7">
        <v>93</v>
      </c>
    </row>
    <row r="8" spans="1:7" x14ac:dyDescent="0.35">
      <c r="D8" s="1" t="s">
        <v>55</v>
      </c>
      <c r="E8">
        <v>106</v>
      </c>
      <c r="F8">
        <v>23</v>
      </c>
      <c r="G8">
        <v>129</v>
      </c>
    </row>
    <row r="11" spans="1:7" x14ac:dyDescent="0.35">
      <c r="B11" s="4" t="s">
        <v>193</v>
      </c>
      <c r="E11" s="5" t="s">
        <v>191</v>
      </c>
    </row>
    <row r="12" spans="1:7" x14ac:dyDescent="0.35">
      <c r="A12" s="3" t="s">
        <v>194</v>
      </c>
      <c r="B12" s="3" t="s">
        <v>57</v>
      </c>
      <c r="E12" s="3" t="s">
        <v>54</v>
      </c>
      <c r="F12" t="s">
        <v>190</v>
      </c>
    </row>
    <row r="13" spans="1:7" x14ac:dyDescent="0.35">
      <c r="A13" s="3" t="s">
        <v>54</v>
      </c>
      <c r="B13" t="s">
        <v>26</v>
      </c>
      <c r="C13" t="s">
        <v>21</v>
      </c>
      <c r="E13" s="1" t="s">
        <v>41</v>
      </c>
      <c r="F13" s="12">
        <v>18086</v>
      </c>
    </row>
    <row r="14" spans="1:7" x14ac:dyDescent="0.35">
      <c r="A14" s="1">
        <v>3</v>
      </c>
      <c r="B14">
        <v>76</v>
      </c>
      <c r="C14">
        <v>17</v>
      </c>
      <c r="E14" s="1" t="s">
        <v>39</v>
      </c>
      <c r="F14" s="12">
        <v>6844.7058823529414</v>
      </c>
    </row>
    <row r="15" spans="1:7" x14ac:dyDescent="0.35">
      <c r="A15" s="1">
        <v>4</v>
      </c>
      <c r="B15">
        <v>22</v>
      </c>
      <c r="C15">
        <v>3</v>
      </c>
      <c r="E15" s="1" t="s">
        <v>40</v>
      </c>
      <c r="F15" s="12">
        <v>5836.7634408602153</v>
      </c>
    </row>
    <row r="16" spans="1:7" x14ac:dyDescent="0.35">
      <c r="A16" s="1">
        <v>2</v>
      </c>
      <c r="B16">
        <v>7</v>
      </c>
      <c r="E16" s="1" t="s">
        <v>55</v>
      </c>
      <c r="F16" s="12">
        <v>6292.333333333333</v>
      </c>
    </row>
    <row r="17" spans="1:3" x14ac:dyDescent="0.35">
      <c r="A17" s="1">
        <v>1</v>
      </c>
      <c r="B17">
        <v>1</v>
      </c>
      <c r="C17">
        <v>3</v>
      </c>
    </row>
    <row r="18" spans="1:3" x14ac:dyDescent="0.35">
      <c r="A18" s="1" t="s">
        <v>55</v>
      </c>
      <c r="B18">
        <v>106</v>
      </c>
      <c r="C18">
        <v>23</v>
      </c>
    </row>
  </sheetData>
  <sheetProtection selectLockedCells="1" selectUn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8C9F-2483-4849-AEA0-DA747326F09A}">
  <dimension ref="A1:AL131"/>
  <sheetViews>
    <sheetView tabSelected="1" zoomScale="48" zoomScaleNormal="100" workbookViewId="0">
      <selection activeCell="J121" sqref="J121"/>
    </sheetView>
  </sheetViews>
  <sheetFormatPr defaultRowHeight="14.5" x14ac:dyDescent="0.35"/>
  <cols>
    <col min="1" max="1" width="21.08984375" bestFit="1" customWidth="1"/>
    <col min="2" max="2" width="10.90625" bestFit="1" customWidth="1"/>
    <col min="3" max="3" width="15.6328125" bestFit="1" customWidth="1"/>
    <col min="4" max="4" width="24.90625" bestFit="1" customWidth="1"/>
    <col min="5" max="5" width="19.6328125" bestFit="1" customWidth="1"/>
    <col min="6" max="6" width="29.08984375" bestFit="1" customWidth="1"/>
    <col min="7" max="7" width="18.08984375" bestFit="1" customWidth="1"/>
    <col min="8" max="8" width="24.1796875" bestFit="1" customWidth="1"/>
    <col min="9" max="9" width="35.7265625" bestFit="1" customWidth="1"/>
    <col min="10" max="10" width="14.90625" bestFit="1" customWidth="1"/>
    <col min="11" max="11" width="24.90625" bestFit="1" customWidth="1"/>
    <col min="12" max="12" width="16.7265625" bestFit="1" customWidth="1"/>
    <col min="13" max="13" width="27.54296875" bestFit="1" customWidth="1"/>
    <col min="14" max="14" width="24.7265625" bestFit="1" customWidth="1"/>
    <col min="15" max="15" width="21.90625" bestFit="1" customWidth="1"/>
    <col min="16" max="16" width="20" bestFit="1" customWidth="1"/>
    <col min="17" max="17" width="16.1796875" bestFit="1" customWidth="1"/>
    <col min="18" max="18" width="18.81640625" bestFit="1" customWidth="1"/>
    <col min="19" max="19" width="13.7265625" style="15" bestFit="1" customWidth="1"/>
    <col min="20" max="20" width="34.1796875" bestFit="1" customWidth="1"/>
    <col min="21" max="21" width="17.7265625" bestFit="1" customWidth="1"/>
    <col min="22" max="22" width="29.08984375" bestFit="1" customWidth="1"/>
    <col min="23" max="23" width="25.6328125" bestFit="1" customWidth="1"/>
    <col min="24" max="24" width="34.54296875" bestFit="1" customWidth="1"/>
    <col min="25" max="25" width="26.6328125" bestFit="1" customWidth="1"/>
    <col min="26" max="26" width="14.6328125" bestFit="1" customWidth="1"/>
    <col min="27" max="27" width="29.6328125" bestFit="1" customWidth="1"/>
    <col min="28" max="28" width="37" bestFit="1" customWidth="1"/>
    <col min="29" max="29" width="43.81640625" bestFit="1" customWidth="1"/>
    <col min="30" max="30" width="20.36328125" bestFit="1" customWidth="1"/>
    <col min="31" max="31" width="21.26953125" bestFit="1" customWidth="1"/>
    <col min="32" max="32" width="27.90625" bestFit="1" customWidth="1"/>
    <col min="33" max="33" width="23.36328125" bestFit="1" customWidth="1"/>
    <col min="34" max="34" width="27" bestFit="1" customWidth="1"/>
    <col min="35" max="35" width="23.1796875" bestFit="1" customWidth="1"/>
    <col min="37" max="37" width="10.54296875" bestFit="1" customWidth="1"/>
  </cols>
  <sheetData>
    <row r="1" spans="1:38" x14ac:dyDescent="0.35">
      <c r="A1" t="s">
        <v>187</v>
      </c>
      <c r="B1" s="1" t="s">
        <v>0</v>
      </c>
      <c r="C1" s="1" t="s">
        <v>1</v>
      </c>
      <c r="D1" s="1" t="s">
        <v>2</v>
      </c>
      <c r="E1" s="1" t="s">
        <v>3</v>
      </c>
      <c r="F1" s="1" t="s">
        <v>4</v>
      </c>
      <c r="G1" s="1" t="s">
        <v>5</v>
      </c>
      <c r="H1" s="1" t="s">
        <v>6</v>
      </c>
      <c r="I1" s="1" t="s">
        <v>7</v>
      </c>
      <c r="J1" s="1" t="s">
        <v>8</v>
      </c>
      <c r="K1" s="1" t="s">
        <v>9</v>
      </c>
      <c r="L1" s="1" t="s">
        <v>10</v>
      </c>
      <c r="M1" s="1" t="s">
        <v>11</v>
      </c>
      <c r="N1" s="1" t="s">
        <v>12</v>
      </c>
      <c r="O1" s="1" t="s">
        <v>13</v>
      </c>
      <c r="P1" s="1" t="s">
        <v>43</v>
      </c>
      <c r="Q1" s="1" t="s">
        <v>42</v>
      </c>
      <c r="R1" s="1" t="s">
        <v>44</v>
      </c>
      <c r="S1" s="13" t="s">
        <v>36</v>
      </c>
      <c r="T1" s="1" t="s">
        <v>14</v>
      </c>
      <c r="U1" s="1" t="s">
        <v>15</v>
      </c>
      <c r="V1" s="1" t="s">
        <v>16</v>
      </c>
      <c r="W1" s="1" t="s">
        <v>37</v>
      </c>
      <c r="X1" s="1" t="s">
        <v>17</v>
      </c>
      <c r="Y1" s="1" t="s">
        <v>18</v>
      </c>
      <c r="Z1" s="1" t="s">
        <v>38</v>
      </c>
      <c r="AA1" s="1" t="s">
        <v>19</v>
      </c>
      <c r="AB1" s="1" t="s">
        <v>20</v>
      </c>
      <c r="AC1" s="1" t="s">
        <v>52</v>
      </c>
      <c r="AD1" s="1" t="s">
        <v>195</v>
      </c>
      <c r="AE1" s="1" t="s">
        <v>196</v>
      </c>
      <c r="AF1" s="1" t="s">
        <v>197</v>
      </c>
      <c r="AG1" s="1" t="s">
        <v>198</v>
      </c>
      <c r="AH1" s="1" t="s">
        <v>199</v>
      </c>
      <c r="AI1" s="1" t="s">
        <v>200</v>
      </c>
    </row>
    <row r="2" spans="1:38" x14ac:dyDescent="0.35">
      <c r="A2" t="s">
        <v>58</v>
      </c>
      <c r="B2" s="2">
        <v>41</v>
      </c>
      <c r="C2" s="2" t="s">
        <v>21</v>
      </c>
      <c r="D2" s="2" t="s">
        <v>22</v>
      </c>
      <c r="E2" s="2" t="s">
        <v>39</v>
      </c>
      <c r="F2" s="2">
        <v>1</v>
      </c>
      <c r="G2" s="2">
        <v>2</v>
      </c>
      <c r="H2" s="2" t="s">
        <v>23</v>
      </c>
      <c r="I2" s="2">
        <v>2</v>
      </c>
      <c r="J2" s="4" t="s">
        <v>24</v>
      </c>
      <c r="K2" s="2">
        <v>3</v>
      </c>
      <c r="L2" s="2">
        <v>2</v>
      </c>
      <c r="M2" s="4" t="s">
        <v>50</v>
      </c>
      <c r="N2" s="2">
        <v>4</v>
      </c>
      <c r="O2" s="2" t="s">
        <v>25</v>
      </c>
      <c r="P2" s="5" t="s">
        <v>39</v>
      </c>
      <c r="Q2" s="4" t="s">
        <v>45</v>
      </c>
      <c r="R2" s="2"/>
      <c r="S2" s="14">
        <v>5993</v>
      </c>
      <c r="T2" s="2">
        <v>8</v>
      </c>
      <c r="U2" s="2" t="s">
        <v>21</v>
      </c>
      <c r="V2" s="4">
        <v>3</v>
      </c>
      <c r="W2" s="2">
        <v>8</v>
      </c>
      <c r="X2" s="2">
        <v>0</v>
      </c>
      <c r="Y2" s="2">
        <v>1</v>
      </c>
      <c r="Z2" s="4">
        <v>6</v>
      </c>
      <c r="AA2" s="2">
        <v>4</v>
      </c>
      <c r="AB2" s="2">
        <v>0</v>
      </c>
      <c r="AC2" s="2">
        <v>5</v>
      </c>
      <c r="AD2" s="4">
        <f>IF(Table1[[#This Row],[Salary]]&lt;10000,2,0)</f>
        <v>2</v>
      </c>
      <c r="AE2" s="4">
        <f>IF(AND(Table1[[#This Row],[Tenure]]&gt;=2,Table1[[#This Row],[Tenure]]&lt;=4),2,0)</f>
        <v>0</v>
      </c>
      <c r="AF2" s="4">
        <f>IF(Table1[[#This Row],[PerformanceRating]]&lt;=2,3,0)</f>
        <v>0</v>
      </c>
      <c r="AG2" s="4">
        <f>IF(Table1[[#This Row],[OverTime]]="Yes",2,0)</f>
        <v>2</v>
      </c>
      <c r="AH2" s="4">
        <f>Table1[[#This Row],[Risk_Salary]]+Table1[[#This Row],[Risk_Tenure]]+Table1[[#This Row],[Risk_Performance]]+Table1[[#This Row],[Risk_Overtime]]</f>
        <v>4</v>
      </c>
      <c r="AI2" s="4" t="str">
        <f>IF(Table1[[#This Row],[Total_Risk_Score]]&gt;=6,"High",IF(Table1[[#This Row],[Total_Risk_Score]]&gt;=3,"Medium","Low"))</f>
        <v>Medium</v>
      </c>
    </row>
    <row r="3" spans="1:38" x14ac:dyDescent="0.35">
      <c r="A3" t="s">
        <v>59</v>
      </c>
      <c r="B3" s="2">
        <v>49</v>
      </c>
      <c r="C3" s="2" t="s">
        <v>26</v>
      </c>
      <c r="D3" s="2" t="s">
        <v>27</v>
      </c>
      <c r="E3" s="2" t="s">
        <v>40</v>
      </c>
      <c r="F3" s="2">
        <v>8</v>
      </c>
      <c r="G3" s="2">
        <v>1</v>
      </c>
      <c r="H3" s="2" t="s">
        <v>23</v>
      </c>
      <c r="I3" s="2">
        <v>3</v>
      </c>
      <c r="J3" s="2" t="s">
        <v>28</v>
      </c>
      <c r="K3" s="2">
        <v>2</v>
      </c>
      <c r="L3" s="2">
        <v>2</v>
      </c>
      <c r="M3" s="2" t="s">
        <v>50</v>
      </c>
      <c r="N3" s="2">
        <v>2</v>
      </c>
      <c r="O3" s="2" t="s">
        <v>29</v>
      </c>
      <c r="P3" t="s">
        <v>40</v>
      </c>
      <c r="Q3" s="2" t="s">
        <v>47</v>
      </c>
      <c r="R3" s="2"/>
      <c r="S3" s="14">
        <v>5130</v>
      </c>
      <c r="T3" s="2">
        <v>1</v>
      </c>
      <c r="U3" s="2" t="s">
        <v>26</v>
      </c>
      <c r="V3" s="2">
        <v>4</v>
      </c>
      <c r="W3" s="2">
        <v>10</v>
      </c>
      <c r="X3" s="2">
        <v>3</v>
      </c>
      <c r="Y3" s="2">
        <v>3</v>
      </c>
      <c r="Z3" s="2">
        <v>10</v>
      </c>
      <c r="AA3" s="2">
        <v>7</v>
      </c>
      <c r="AB3" s="2">
        <v>1</v>
      </c>
      <c r="AC3" s="2">
        <v>7</v>
      </c>
      <c r="AD3" s="2">
        <f>IF(Table1[[#This Row],[Salary]]&lt;10000,2,0)</f>
        <v>2</v>
      </c>
      <c r="AE3" s="2">
        <f>IF(AND(Table1[[#This Row],[Tenure]]&gt;=2,Table1[[#This Row],[Tenure]]&lt;=4),2,0)</f>
        <v>0</v>
      </c>
      <c r="AF3" s="2">
        <f>IF(Table1[[#This Row],[PerformanceRating]]&lt;=2,3,0)</f>
        <v>0</v>
      </c>
      <c r="AG3" s="2">
        <f>IF(Table1[[#This Row],[OverTime]]="Yes",2,0)</f>
        <v>0</v>
      </c>
      <c r="AH3" s="2">
        <f>Table1[[#This Row],[Risk_Salary]]+Table1[[#This Row],[Risk_Tenure]]+Table1[[#This Row],[Risk_Performance]]+Table1[[#This Row],[Risk_Overtime]]</f>
        <v>2</v>
      </c>
      <c r="AI3" s="2" t="str">
        <f>IF(Table1[[#This Row],[Total_Risk_Score]]&gt;=6,"High",IF(Table1[[#This Row],[Total_Risk_Score]]&gt;=3,"Medium","Low"))</f>
        <v>Low</v>
      </c>
    </row>
    <row r="4" spans="1:38" x14ac:dyDescent="0.35">
      <c r="A4" t="s">
        <v>60</v>
      </c>
      <c r="B4" s="2">
        <v>37</v>
      </c>
      <c r="C4" s="2" t="s">
        <v>21</v>
      </c>
      <c r="D4" s="2" t="s">
        <v>22</v>
      </c>
      <c r="E4" s="2" t="s">
        <v>40</v>
      </c>
      <c r="F4" s="2">
        <v>2</v>
      </c>
      <c r="G4" s="2">
        <v>2</v>
      </c>
      <c r="H4" s="2" t="s">
        <v>30</v>
      </c>
      <c r="I4" s="2">
        <v>4</v>
      </c>
      <c r="J4" s="2" t="s">
        <v>28</v>
      </c>
      <c r="K4" s="2">
        <v>2</v>
      </c>
      <c r="L4" s="2">
        <v>1</v>
      </c>
      <c r="M4" s="2" t="s">
        <v>50</v>
      </c>
      <c r="N4" s="2">
        <v>3</v>
      </c>
      <c r="O4" s="2" t="s">
        <v>25</v>
      </c>
      <c r="P4" t="s">
        <v>49</v>
      </c>
      <c r="Q4" s="2" t="s">
        <v>46</v>
      </c>
      <c r="R4" s="2"/>
      <c r="S4" s="14">
        <v>2090</v>
      </c>
      <c r="T4" s="2">
        <v>6</v>
      </c>
      <c r="U4" s="2" t="s">
        <v>21</v>
      </c>
      <c r="V4" s="2">
        <v>3</v>
      </c>
      <c r="W4" s="2">
        <v>7</v>
      </c>
      <c r="X4" s="2">
        <v>3</v>
      </c>
      <c r="Y4" s="2">
        <v>3</v>
      </c>
      <c r="Z4" s="2">
        <v>0</v>
      </c>
      <c r="AA4" s="2">
        <v>0</v>
      </c>
      <c r="AB4" s="2">
        <v>0</v>
      </c>
      <c r="AC4" s="2">
        <v>0</v>
      </c>
      <c r="AD4" s="2">
        <f>IF(Table1[[#This Row],[Salary]]&lt;10000,2,0)</f>
        <v>2</v>
      </c>
      <c r="AE4" s="2">
        <f>IF(AND(Table1[[#This Row],[Tenure]]&gt;=2,Table1[[#This Row],[Tenure]]&lt;=4),2,0)</f>
        <v>0</v>
      </c>
      <c r="AF4" s="2">
        <f>IF(Table1[[#This Row],[PerformanceRating]]&lt;=2,3,0)</f>
        <v>0</v>
      </c>
      <c r="AG4" s="2">
        <f>IF(Table1[[#This Row],[OverTime]]="Yes",2,0)</f>
        <v>2</v>
      </c>
      <c r="AH4" s="2">
        <f>Table1[[#This Row],[Risk_Salary]]+Table1[[#This Row],[Risk_Tenure]]+Table1[[#This Row],[Risk_Performance]]+Table1[[#This Row],[Risk_Overtime]]</f>
        <v>4</v>
      </c>
      <c r="AI4" s="2" t="str">
        <f>IF(Table1[[#This Row],[Total_Risk_Score]]&gt;=6,"High",IF(Table1[[#This Row],[Total_Risk_Score]]&gt;=3,"Medium","Low"))</f>
        <v>Medium</v>
      </c>
    </row>
    <row r="5" spans="1:38" x14ac:dyDescent="0.35">
      <c r="A5" t="s">
        <v>61</v>
      </c>
      <c r="B5" s="2">
        <v>33</v>
      </c>
      <c r="C5" s="2" t="s">
        <v>26</v>
      </c>
      <c r="D5" s="2" t="s">
        <v>27</v>
      </c>
      <c r="E5" s="2" t="s">
        <v>40</v>
      </c>
      <c r="F5" s="2">
        <v>3</v>
      </c>
      <c r="G5" s="2">
        <v>4</v>
      </c>
      <c r="H5" s="2" t="s">
        <v>23</v>
      </c>
      <c r="I5" s="2">
        <v>4</v>
      </c>
      <c r="J5" s="2" t="s">
        <v>24</v>
      </c>
      <c r="K5" s="2">
        <v>3</v>
      </c>
      <c r="L5" s="2">
        <v>1</v>
      </c>
      <c r="M5" s="2" t="s">
        <v>50</v>
      </c>
      <c r="N5" s="2">
        <v>3</v>
      </c>
      <c r="O5" s="2" t="s">
        <v>29</v>
      </c>
      <c r="P5" t="s">
        <v>39</v>
      </c>
      <c r="Q5" s="2" t="s">
        <v>48</v>
      </c>
      <c r="R5" s="2"/>
      <c r="S5" s="14">
        <v>2909</v>
      </c>
      <c r="T5" s="2">
        <v>1</v>
      </c>
      <c r="U5" s="2" t="s">
        <v>21</v>
      </c>
      <c r="V5" s="2">
        <v>1</v>
      </c>
      <c r="W5" s="2">
        <v>8</v>
      </c>
      <c r="X5" s="2">
        <v>3</v>
      </c>
      <c r="Y5" s="2">
        <v>3</v>
      </c>
      <c r="Z5" s="2">
        <v>8</v>
      </c>
      <c r="AA5" s="2">
        <v>7</v>
      </c>
      <c r="AB5" s="2">
        <v>3</v>
      </c>
      <c r="AC5" s="2">
        <v>0</v>
      </c>
      <c r="AD5" s="2">
        <f>IF(Table1[[#This Row],[Salary]]&lt;10000,2,0)</f>
        <v>2</v>
      </c>
      <c r="AE5" s="2">
        <f>IF(AND(Table1[[#This Row],[Tenure]]&gt;=2,Table1[[#This Row],[Tenure]]&lt;=4),2,0)</f>
        <v>0</v>
      </c>
      <c r="AF5" s="2">
        <f>IF(Table1[[#This Row],[PerformanceRating]]&lt;=2,3,0)</f>
        <v>3</v>
      </c>
      <c r="AG5" s="2">
        <f>IF(Table1[[#This Row],[OverTime]]="Yes",2,0)</f>
        <v>2</v>
      </c>
      <c r="AH5" s="2">
        <f>Table1[[#This Row],[Risk_Salary]]+Table1[[#This Row],[Risk_Tenure]]+Table1[[#This Row],[Risk_Performance]]+Table1[[#This Row],[Risk_Overtime]]</f>
        <v>7</v>
      </c>
      <c r="AI5" s="2" t="str">
        <f>IF(Table1[[#This Row],[Total_Risk_Score]]&gt;=6,"High",IF(Table1[[#This Row],[Total_Risk_Score]]&gt;=3,"Medium","Low"))</f>
        <v>High</v>
      </c>
    </row>
    <row r="6" spans="1:38" x14ac:dyDescent="0.35">
      <c r="A6" t="s">
        <v>62</v>
      </c>
      <c r="B6" s="2">
        <v>27</v>
      </c>
      <c r="C6" s="2" t="s">
        <v>26</v>
      </c>
      <c r="D6" s="2" t="s">
        <v>22</v>
      </c>
      <c r="E6" s="2" t="s">
        <v>40</v>
      </c>
      <c r="F6" s="2">
        <v>2</v>
      </c>
      <c r="G6" s="2">
        <v>1</v>
      </c>
      <c r="H6" s="2" t="s">
        <v>31</v>
      </c>
      <c r="I6" s="2">
        <v>1</v>
      </c>
      <c r="J6" s="2" t="s">
        <v>28</v>
      </c>
      <c r="K6" s="2">
        <v>3</v>
      </c>
      <c r="L6" s="2">
        <v>1</v>
      </c>
      <c r="M6" s="2" t="s">
        <v>50</v>
      </c>
      <c r="N6" s="2">
        <v>2</v>
      </c>
      <c r="O6" s="2" t="s">
        <v>29</v>
      </c>
      <c r="P6" t="s">
        <v>39</v>
      </c>
      <c r="Q6" s="2" t="s">
        <v>47</v>
      </c>
      <c r="R6" s="2"/>
      <c r="S6" s="14">
        <v>3468</v>
      </c>
      <c r="T6" s="2">
        <v>9</v>
      </c>
      <c r="U6" s="2" t="s">
        <v>26</v>
      </c>
      <c r="V6" s="2">
        <v>3</v>
      </c>
      <c r="W6" s="2">
        <v>6</v>
      </c>
      <c r="X6" s="2">
        <v>3</v>
      </c>
      <c r="Y6" s="2">
        <v>3</v>
      </c>
      <c r="Z6" s="2">
        <v>2</v>
      </c>
      <c r="AA6" s="2">
        <v>2</v>
      </c>
      <c r="AB6" s="2">
        <v>2</v>
      </c>
      <c r="AC6" s="2">
        <v>2</v>
      </c>
      <c r="AD6" s="2">
        <f>IF(Table1[[#This Row],[Salary]]&lt;10000,2,0)</f>
        <v>2</v>
      </c>
      <c r="AE6" s="2">
        <f>IF(AND(Table1[[#This Row],[Tenure]]&gt;=2,Table1[[#This Row],[Tenure]]&lt;=4),2,0)</f>
        <v>2</v>
      </c>
      <c r="AF6" s="2">
        <f>IF(Table1[[#This Row],[PerformanceRating]]&lt;=2,3,0)</f>
        <v>0</v>
      </c>
      <c r="AG6" s="2">
        <f>IF(Table1[[#This Row],[OverTime]]="Yes",2,0)</f>
        <v>0</v>
      </c>
      <c r="AH6" s="2">
        <f>Table1[[#This Row],[Risk_Salary]]+Table1[[#This Row],[Risk_Tenure]]+Table1[[#This Row],[Risk_Performance]]+Table1[[#This Row],[Risk_Overtime]]</f>
        <v>4</v>
      </c>
      <c r="AI6" s="2" t="str">
        <f>IF(Table1[[#This Row],[Total_Risk_Score]]&gt;=6,"High",IF(Table1[[#This Row],[Total_Risk_Score]]&gt;=3,"Medium","Low"))</f>
        <v>Medium</v>
      </c>
    </row>
    <row r="7" spans="1:38" x14ac:dyDescent="0.35">
      <c r="A7" t="s">
        <v>63</v>
      </c>
      <c r="B7" s="2">
        <v>32</v>
      </c>
      <c r="C7" s="2" t="s">
        <v>26</v>
      </c>
      <c r="D7" s="2" t="s">
        <v>27</v>
      </c>
      <c r="E7" s="2" t="s">
        <v>40</v>
      </c>
      <c r="F7" s="2">
        <v>2</v>
      </c>
      <c r="G7" s="2">
        <v>2</v>
      </c>
      <c r="H7" s="2" t="s">
        <v>23</v>
      </c>
      <c r="I7" s="2">
        <v>4</v>
      </c>
      <c r="J7" s="2" t="s">
        <v>28</v>
      </c>
      <c r="K7" s="2">
        <v>3</v>
      </c>
      <c r="L7" s="2">
        <v>1</v>
      </c>
      <c r="M7" s="2" t="s">
        <v>50</v>
      </c>
      <c r="N7" s="2">
        <v>4</v>
      </c>
      <c r="O7" s="2" t="s">
        <v>25</v>
      </c>
      <c r="P7" t="s">
        <v>49</v>
      </c>
      <c r="Q7" s="2" t="s">
        <v>47</v>
      </c>
      <c r="R7" s="2"/>
      <c r="S7" s="14">
        <v>3068</v>
      </c>
      <c r="T7" s="2">
        <v>0</v>
      </c>
      <c r="U7" s="2" t="s">
        <v>26</v>
      </c>
      <c r="V7" s="2">
        <v>2</v>
      </c>
      <c r="W7" s="2">
        <v>8</v>
      </c>
      <c r="X7" s="2">
        <v>2</v>
      </c>
      <c r="Y7" s="2">
        <v>2</v>
      </c>
      <c r="Z7" s="2">
        <v>7</v>
      </c>
      <c r="AA7" s="2">
        <v>7</v>
      </c>
      <c r="AB7" s="2">
        <v>3</v>
      </c>
      <c r="AC7" s="2">
        <v>6</v>
      </c>
      <c r="AD7" s="2">
        <f>IF(Table1[[#This Row],[Salary]]&lt;10000,2,0)</f>
        <v>2</v>
      </c>
      <c r="AE7" s="2">
        <f>IF(AND(Table1[[#This Row],[Tenure]]&gt;=2,Table1[[#This Row],[Tenure]]&lt;=4),2,0)</f>
        <v>0</v>
      </c>
      <c r="AF7" s="2">
        <f>IF(Table1[[#This Row],[PerformanceRating]]&lt;=2,3,0)</f>
        <v>3</v>
      </c>
      <c r="AG7" s="2">
        <f>IF(Table1[[#This Row],[OverTime]]="Yes",2,0)</f>
        <v>0</v>
      </c>
      <c r="AH7" s="2">
        <f>Table1[[#This Row],[Risk_Salary]]+Table1[[#This Row],[Risk_Tenure]]+Table1[[#This Row],[Risk_Performance]]+Table1[[#This Row],[Risk_Overtime]]</f>
        <v>5</v>
      </c>
      <c r="AI7" s="2" t="str">
        <f>IF(Table1[[#This Row],[Total_Risk_Score]]&gt;=6,"High",IF(Table1[[#This Row],[Total_Risk_Score]]&gt;=3,"Medium","Low"))</f>
        <v>Medium</v>
      </c>
    </row>
    <row r="8" spans="1:38" x14ac:dyDescent="0.35">
      <c r="A8" t="s">
        <v>64</v>
      </c>
      <c r="B8" s="2">
        <v>59</v>
      </c>
      <c r="C8" s="2" t="s">
        <v>26</v>
      </c>
      <c r="D8" s="2" t="s">
        <v>22</v>
      </c>
      <c r="E8" s="2" t="s">
        <v>40</v>
      </c>
      <c r="F8" s="2">
        <v>3</v>
      </c>
      <c r="G8" s="2">
        <v>3</v>
      </c>
      <c r="H8" s="2" t="s">
        <v>31</v>
      </c>
      <c r="I8" s="2">
        <v>3</v>
      </c>
      <c r="J8" s="2" t="s">
        <v>24</v>
      </c>
      <c r="K8" s="2">
        <v>4</v>
      </c>
      <c r="L8" s="2">
        <v>1</v>
      </c>
      <c r="M8" s="2" t="s">
        <v>50</v>
      </c>
      <c r="N8" s="2">
        <v>1</v>
      </c>
      <c r="O8" s="2" t="s">
        <v>29</v>
      </c>
      <c r="P8" t="s">
        <v>49</v>
      </c>
      <c r="Q8" s="2" t="s">
        <v>48</v>
      </c>
      <c r="R8" s="2"/>
      <c r="S8" s="14">
        <v>2670</v>
      </c>
      <c r="T8" s="2">
        <v>4</v>
      </c>
      <c r="U8" s="2" t="s">
        <v>21</v>
      </c>
      <c r="V8" s="2">
        <v>4</v>
      </c>
      <c r="W8" s="2">
        <v>12</v>
      </c>
      <c r="X8" s="2">
        <v>3</v>
      </c>
      <c r="Y8" s="2">
        <v>2</v>
      </c>
      <c r="Z8" s="2">
        <v>1</v>
      </c>
      <c r="AA8" s="2">
        <v>0</v>
      </c>
      <c r="AB8" s="2">
        <v>0</v>
      </c>
      <c r="AC8" s="2">
        <v>0</v>
      </c>
      <c r="AD8" s="2">
        <f>IF(Table1[[#This Row],[Salary]]&lt;10000,2,0)</f>
        <v>2</v>
      </c>
      <c r="AE8" s="2">
        <f>IF(AND(Table1[[#This Row],[Tenure]]&gt;=2,Table1[[#This Row],[Tenure]]&lt;=4),2,0)</f>
        <v>0</v>
      </c>
      <c r="AF8" s="2">
        <f>IF(Table1[[#This Row],[PerformanceRating]]&lt;=2,3,0)</f>
        <v>0</v>
      </c>
      <c r="AG8" s="2">
        <f>IF(Table1[[#This Row],[OverTime]]="Yes",2,0)</f>
        <v>2</v>
      </c>
      <c r="AH8" s="2">
        <f>Table1[[#This Row],[Risk_Salary]]+Table1[[#This Row],[Risk_Tenure]]+Table1[[#This Row],[Risk_Performance]]+Table1[[#This Row],[Risk_Overtime]]</f>
        <v>4</v>
      </c>
      <c r="AI8" s="2" t="str">
        <f>IF(Table1[[#This Row],[Total_Risk_Score]]&gt;=6,"High",IF(Table1[[#This Row],[Total_Risk_Score]]&gt;=3,"Medium","Low"))</f>
        <v>Medium</v>
      </c>
    </row>
    <row r="9" spans="1:38" x14ac:dyDescent="0.35">
      <c r="A9" t="s">
        <v>65</v>
      </c>
      <c r="B9" s="2">
        <v>30</v>
      </c>
      <c r="C9" s="2" t="s">
        <v>26</v>
      </c>
      <c r="D9" s="2" t="s">
        <v>22</v>
      </c>
      <c r="E9" s="2" t="s">
        <v>40</v>
      </c>
      <c r="F9" s="2">
        <v>24</v>
      </c>
      <c r="G9" s="2">
        <v>1</v>
      </c>
      <c r="H9" s="2" t="s">
        <v>23</v>
      </c>
      <c r="I9" s="2">
        <v>4</v>
      </c>
      <c r="J9" s="2" t="s">
        <v>28</v>
      </c>
      <c r="K9" s="2">
        <v>3</v>
      </c>
      <c r="L9" s="2">
        <v>1</v>
      </c>
      <c r="M9" s="2" t="s">
        <v>50</v>
      </c>
      <c r="N9" s="2">
        <v>3</v>
      </c>
      <c r="O9" s="2" t="s">
        <v>32</v>
      </c>
      <c r="P9" t="s">
        <v>40</v>
      </c>
      <c r="Q9" s="2" t="s">
        <v>45</v>
      </c>
      <c r="R9" s="2"/>
      <c r="S9" s="14">
        <v>2693</v>
      </c>
      <c r="T9" s="2">
        <v>1</v>
      </c>
      <c r="U9" s="2" t="s">
        <v>26</v>
      </c>
      <c r="V9" s="2">
        <v>4</v>
      </c>
      <c r="W9" s="2">
        <v>1</v>
      </c>
      <c r="X9" s="2">
        <v>2</v>
      </c>
      <c r="Y9" s="2">
        <v>3</v>
      </c>
      <c r="Z9" s="2">
        <v>1</v>
      </c>
      <c r="AA9" s="2">
        <v>0</v>
      </c>
      <c r="AB9" s="2">
        <v>0</v>
      </c>
      <c r="AC9" s="2">
        <v>0</v>
      </c>
      <c r="AD9" s="2">
        <f>IF(Table1[[#This Row],[Salary]]&lt;10000,2,0)</f>
        <v>2</v>
      </c>
      <c r="AE9" s="2">
        <f>IF(AND(Table1[[#This Row],[Tenure]]&gt;=2,Table1[[#This Row],[Tenure]]&lt;=4),2,0)</f>
        <v>0</v>
      </c>
      <c r="AF9" s="2">
        <f>IF(Table1[[#This Row],[PerformanceRating]]&lt;=2,3,0)</f>
        <v>0</v>
      </c>
      <c r="AG9" s="2">
        <f>IF(Table1[[#This Row],[OverTime]]="Yes",2,0)</f>
        <v>0</v>
      </c>
      <c r="AH9" s="2">
        <f>Table1[[#This Row],[Risk_Salary]]+Table1[[#This Row],[Risk_Tenure]]+Table1[[#This Row],[Risk_Performance]]+Table1[[#This Row],[Risk_Overtime]]</f>
        <v>2</v>
      </c>
      <c r="AI9" s="2" t="str">
        <f>IF(Table1[[#This Row],[Total_Risk_Score]]&gt;=6,"High",IF(Table1[[#This Row],[Total_Risk_Score]]&gt;=3,"Medium","Low"))</f>
        <v>Low</v>
      </c>
    </row>
    <row r="10" spans="1:38" x14ac:dyDescent="0.35">
      <c r="A10" t="s">
        <v>66</v>
      </c>
      <c r="B10" s="2">
        <v>38</v>
      </c>
      <c r="C10" s="2" t="s">
        <v>26</v>
      </c>
      <c r="D10" s="2" t="s">
        <v>27</v>
      </c>
      <c r="E10" s="2" t="s">
        <v>40</v>
      </c>
      <c r="F10" s="2">
        <v>23</v>
      </c>
      <c r="G10" s="2">
        <v>3</v>
      </c>
      <c r="H10" s="2" t="s">
        <v>23</v>
      </c>
      <c r="I10" s="2">
        <v>4</v>
      </c>
      <c r="J10" s="2" t="s">
        <v>28</v>
      </c>
      <c r="K10" s="2">
        <v>2</v>
      </c>
      <c r="L10" s="2">
        <v>3</v>
      </c>
      <c r="M10" s="2" t="s">
        <v>53</v>
      </c>
      <c r="N10" s="2">
        <v>3</v>
      </c>
      <c r="O10" s="2" t="s">
        <v>25</v>
      </c>
      <c r="P10" t="s">
        <v>40</v>
      </c>
      <c r="Q10" s="2" t="s">
        <v>47</v>
      </c>
      <c r="R10" s="2"/>
      <c r="S10" s="14">
        <v>9526</v>
      </c>
      <c r="T10" s="2">
        <v>0</v>
      </c>
      <c r="U10" s="2" t="s">
        <v>26</v>
      </c>
      <c r="V10" s="2">
        <v>2</v>
      </c>
      <c r="W10" s="2">
        <v>10</v>
      </c>
      <c r="X10" s="2">
        <v>2</v>
      </c>
      <c r="Y10" s="2">
        <v>3</v>
      </c>
      <c r="Z10" s="2">
        <v>9</v>
      </c>
      <c r="AA10" s="2">
        <v>7</v>
      </c>
      <c r="AB10" s="2">
        <v>1</v>
      </c>
      <c r="AC10" s="2">
        <v>8</v>
      </c>
      <c r="AD10" s="2">
        <f>IF(Table1[[#This Row],[Salary]]&lt;10000,2,0)</f>
        <v>2</v>
      </c>
      <c r="AE10" s="2">
        <f>IF(AND(Table1[[#This Row],[Tenure]]&gt;=2,Table1[[#This Row],[Tenure]]&lt;=4),2,0)</f>
        <v>0</v>
      </c>
      <c r="AF10" s="2">
        <f>IF(Table1[[#This Row],[PerformanceRating]]&lt;=2,3,0)</f>
        <v>3</v>
      </c>
      <c r="AG10" s="2">
        <f>IF(Table1[[#This Row],[OverTime]]="Yes",2,0)</f>
        <v>0</v>
      </c>
      <c r="AH10" s="2">
        <f>Table1[[#This Row],[Risk_Salary]]+Table1[[#This Row],[Risk_Tenure]]+Table1[[#This Row],[Risk_Performance]]+Table1[[#This Row],[Risk_Overtime]]</f>
        <v>5</v>
      </c>
      <c r="AI10" s="2" t="str">
        <f>IF(Table1[[#This Row],[Total_Risk_Score]]&gt;=6,"High",IF(Table1[[#This Row],[Total_Risk_Score]]&gt;=3,"Medium","Low"))</f>
        <v>Medium</v>
      </c>
    </row>
    <row r="11" spans="1:38" x14ac:dyDescent="0.35">
      <c r="A11" t="s">
        <v>67</v>
      </c>
      <c r="B11" s="2">
        <v>36</v>
      </c>
      <c r="C11" s="2" t="s">
        <v>26</v>
      </c>
      <c r="D11" s="2" t="s">
        <v>22</v>
      </c>
      <c r="E11" s="2" t="s">
        <v>40</v>
      </c>
      <c r="F11" s="2">
        <v>27</v>
      </c>
      <c r="G11" s="2">
        <v>3</v>
      </c>
      <c r="H11" s="2" t="s">
        <v>31</v>
      </c>
      <c r="I11" s="2">
        <v>3</v>
      </c>
      <c r="J11" s="2" t="s">
        <v>28</v>
      </c>
      <c r="K11" s="2">
        <v>3</v>
      </c>
      <c r="L11" s="2">
        <v>2</v>
      </c>
      <c r="M11" s="2" t="s">
        <v>53</v>
      </c>
      <c r="N11" s="2">
        <v>3</v>
      </c>
      <c r="O11" s="2" t="s">
        <v>29</v>
      </c>
      <c r="P11" t="s">
        <v>39</v>
      </c>
      <c r="Q11" s="2" t="s">
        <v>46</v>
      </c>
      <c r="R11" s="2"/>
      <c r="S11" s="14">
        <v>5237</v>
      </c>
      <c r="T11" s="2">
        <v>6</v>
      </c>
      <c r="U11" s="2" t="s">
        <v>26</v>
      </c>
      <c r="V11" s="2">
        <v>3</v>
      </c>
      <c r="W11" s="2">
        <v>17</v>
      </c>
      <c r="X11" s="2">
        <v>3</v>
      </c>
      <c r="Y11" s="2">
        <v>2</v>
      </c>
      <c r="Z11" s="2">
        <v>7</v>
      </c>
      <c r="AA11" s="2">
        <v>7</v>
      </c>
      <c r="AB11" s="2">
        <v>7</v>
      </c>
      <c r="AC11" s="2">
        <v>7</v>
      </c>
      <c r="AD11" s="2">
        <f>IF(Table1[[#This Row],[Salary]]&lt;10000,2,0)</f>
        <v>2</v>
      </c>
      <c r="AE11" s="2">
        <f>IF(AND(Table1[[#This Row],[Tenure]]&gt;=2,Table1[[#This Row],[Tenure]]&lt;=4),2,0)</f>
        <v>0</v>
      </c>
      <c r="AF11" s="2">
        <f>IF(Table1[[#This Row],[PerformanceRating]]&lt;=2,3,0)</f>
        <v>0</v>
      </c>
      <c r="AG11" s="2">
        <f>IF(Table1[[#This Row],[OverTime]]="Yes",2,0)</f>
        <v>0</v>
      </c>
      <c r="AH11" s="2">
        <f>Table1[[#This Row],[Risk_Salary]]+Table1[[#This Row],[Risk_Tenure]]+Table1[[#This Row],[Risk_Performance]]+Table1[[#This Row],[Risk_Overtime]]</f>
        <v>2</v>
      </c>
      <c r="AI11" s="2" t="str">
        <f>IF(Table1[[#This Row],[Total_Risk_Score]]&gt;=6,"High",IF(Table1[[#This Row],[Total_Risk_Score]]&gt;=3,"Medium","Low"))</f>
        <v>Low</v>
      </c>
      <c r="AK11" t="s">
        <v>206</v>
      </c>
      <c r="AL11" s="6"/>
    </row>
    <row r="12" spans="1:38" x14ac:dyDescent="0.35">
      <c r="A12" t="s">
        <v>68</v>
      </c>
      <c r="B12" s="2">
        <v>35</v>
      </c>
      <c r="C12" s="2" t="s">
        <v>26</v>
      </c>
      <c r="D12" s="2" t="s">
        <v>22</v>
      </c>
      <c r="E12" s="2" t="s">
        <v>40</v>
      </c>
      <c r="F12" s="2">
        <v>16</v>
      </c>
      <c r="G12" s="2">
        <v>3</v>
      </c>
      <c r="H12" s="2" t="s">
        <v>31</v>
      </c>
      <c r="I12" s="2">
        <v>1</v>
      </c>
      <c r="J12" s="2" t="s">
        <v>28</v>
      </c>
      <c r="K12" s="2">
        <v>4</v>
      </c>
      <c r="L12" s="2">
        <v>1</v>
      </c>
      <c r="M12" s="2" t="s">
        <v>50</v>
      </c>
      <c r="N12" s="2">
        <v>2</v>
      </c>
      <c r="O12" s="2" t="s">
        <v>29</v>
      </c>
      <c r="P12" t="s">
        <v>49</v>
      </c>
      <c r="Q12" s="2" t="s">
        <v>48</v>
      </c>
      <c r="R12" s="2"/>
      <c r="S12" s="14">
        <v>2426</v>
      </c>
      <c r="T12" s="2">
        <v>0</v>
      </c>
      <c r="U12" s="2" t="s">
        <v>26</v>
      </c>
      <c r="V12" s="2">
        <v>3</v>
      </c>
      <c r="W12" s="2">
        <v>6</v>
      </c>
      <c r="X12" s="2">
        <v>5</v>
      </c>
      <c r="Y12" s="2">
        <v>3</v>
      </c>
      <c r="Z12" s="2">
        <v>5</v>
      </c>
      <c r="AA12" s="2">
        <v>4</v>
      </c>
      <c r="AB12" s="2">
        <v>0</v>
      </c>
      <c r="AC12" s="2">
        <v>3</v>
      </c>
      <c r="AD12" s="2">
        <f>IF(Table1[[#This Row],[Salary]]&lt;10000,2,0)</f>
        <v>2</v>
      </c>
      <c r="AE12" s="2">
        <f>IF(AND(Table1[[#This Row],[Tenure]]&gt;=2,Table1[[#This Row],[Tenure]]&lt;=4),2,0)</f>
        <v>0</v>
      </c>
      <c r="AF12" s="2">
        <f>IF(Table1[[#This Row],[PerformanceRating]]&lt;=2,3,0)</f>
        <v>0</v>
      </c>
      <c r="AG12" s="2">
        <f>IF(Table1[[#This Row],[OverTime]]="Yes",2,0)</f>
        <v>0</v>
      </c>
      <c r="AH12" s="2">
        <f>Table1[[#This Row],[Risk_Salary]]+Table1[[#This Row],[Risk_Tenure]]+Table1[[#This Row],[Risk_Performance]]+Table1[[#This Row],[Risk_Overtime]]</f>
        <v>2</v>
      </c>
      <c r="AI12" s="2" t="str">
        <f>IF(Table1[[#This Row],[Total_Risk_Score]]&gt;=6,"High",IF(Table1[[#This Row],[Total_Risk_Score]]&gt;=3,"Medium","Low"))</f>
        <v>Low</v>
      </c>
      <c r="AK12" t="s">
        <v>207</v>
      </c>
      <c r="AL12" s="7"/>
    </row>
    <row r="13" spans="1:38" x14ac:dyDescent="0.35">
      <c r="A13" t="s">
        <v>69</v>
      </c>
      <c r="B13" s="2">
        <v>29</v>
      </c>
      <c r="C13" s="2" t="s">
        <v>26</v>
      </c>
      <c r="D13" s="2" t="s">
        <v>22</v>
      </c>
      <c r="E13" s="2" t="s">
        <v>40</v>
      </c>
      <c r="F13" s="2">
        <v>15</v>
      </c>
      <c r="G13" s="2">
        <v>2</v>
      </c>
      <c r="H13" s="2" t="s">
        <v>23</v>
      </c>
      <c r="I13" s="2">
        <v>4</v>
      </c>
      <c r="J13" s="2" t="s">
        <v>24</v>
      </c>
      <c r="K13" s="2">
        <v>2</v>
      </c>
      <c r="L13" s="2">
        <v>2</v>
      </c>
      <c r="M13" s="2" t="s">
        <v>50</v>
      </c>
      <c r="N13" s="2">
        <v>3</v>
      </c>
      <c r="O13" s="2" t="s">
        <v>25</v>
      </c>
      <c r="P13" t="s">
        <v>49</v>
      </c>
      <c r="Q13" s="2" t="s">
        <v>47</v>
      </c>
      <c r="R13" s="2"/>
      <c r="S13" s="14">
        <v>4193</v>
      </c>
      <c r="T13" s="2">
        <v>0</v>
      </c>
      <c r="U13" s="2" t="s">
        <v>21</v>
      </c>
      <c r="V13" s="2">
        <v>3</v>
      </c>
      <c r="W13" s="2">
        <v>10</v>
      </c>
      <c r="X13" s="2">
        <v>3</v>
      </c>
      <c r="Y13" s="2">
        <v>3</v>
      </c>
      <c r="Z13" s="2">
        <v>9</v>
      </c>
      <c r="AA13" s="2">
        <v>5</v>
      </c>
      <c r="AB13" s="2">
        <v>0</v>
      </c>
      <c r="AC13" s="2">
        <v>8</v>
      </c>
      <c r="AD13" s="2">
        <f>IF(Table1[[#This Row],[Salary]]&lt;10000,2,0)</f>
        <v>2</v>
      </c>
      <c r="AE13" s="2">
        <f>IF(AND(Table1[[#This Row],[Tenure]]&gt;=2,Table1[[#This Row],[Tenure]]&lt;=4),2,0)</f>
        <v>0</v>
      </c>
      <c r="AF13" s="2">
        <f>IF(Table1[[#This Row],[PerformanceRating]]&lt;=2,3,0)</f>
        <v>0</v>
      </c>
      <c r="AG13" s="2">
        <f>IF(Table1[[#This Row],[OverTime]]="Yes",2,0)</f>
        <v>2</v>
      </c>
      <c r="AH13" s="2">
        <f>Table1[[#This Row],[Risk_Salary]]+Table1[[#This Row],[Risk_Tenure]]+Table1[[#This Row],[Risk_Performance]]+Table1[[#This Row],[Risk_Overtime]]</f>
        <v>4</v>
      </c>
      <c r="AI13" s="2" t="str">
        <f>IF(Table1[[#This Row],[Total_Risk_Score]]&gt;=6,"High",IF(Table1[[#This Row],[Total_Risk_Score]]&gt;=3,"Medium","Low"))</f>
        <v>Medium</v>
      </c>
      <c r="AK13" t="s">
        <v>208</v>
      </c>
      <c r="AL13" s="8"/>
    </row>
    <row r="14" spans="1:38" x14ac:dyDescent="0.35">
      <c r="A14" t="s">
        <v>70</v>
      </c>
      <c r="B14" s="2">
        <v>31</v>
      </c>
      <c r="C14" s="2" t="s">
        <v>26</v>
      </c>
      <c r="D14" s="2" t="s">
        <v>22</v>
      </c>
      <c r="E14" s="2" t="s">
        <v>40</v>
      </c>
      <c r="F14" s="2">
        <v>26</v>
      </c>
      <c r="G14" s="2">
        <v>1</v>
      </c>
      <c r="H14" s="2" t="s">
        <v>23</v>
      </c>
      <c r="I14" s="2">
        <v>1</v>
      </c>
      <c r="J14" s="2" t="s">
        <v>28</v>
      </c>
      <c r="K14" s="2">
        <v>3</v>
      </c>
      <c r="L14" s="2">
        <v>1</v>
      </c>
      <c r="M14" s="2" t="s">
        <v>50</v>
      </c>
      <c r="N14" s="2">
        <v>3</v>
      </c>
      <c r="O14" s="2" t="s">
        <v>32</v>
      </c>
      <c r="P14" t="s">
        <v>40</v>
      </c>
      <c r="Q14" s="2" t="s">
        <v>47</v>
      </c>
      <c r="R14" s="2"/>
      <c r="S14" s="14">
        <v>2911</v>
      </c>
      <c r="T14" s="2">
        <v>1</v>
      </c>
      <c r="U14" s="2" t="s">
        <v>26</v>
      </c>
      <c r="V14" s="2">
        <v>3</v>
      </c>
      <c r="W14" s="2">
        <v>5</v>
      </c>
      <c r="X14" s="2">
        <v>1</v>
      </c>
      <c r="Y14" s="2">
        <v>2</v>
      </c>
      <c r="Z14" s="2">
        <v>5</v>
      </c>
      <c r="AA14" s="2">
        <v>2</v>
      </c>
      <c r="AB14" s="2">
        <v>4</v>
      </c>
      <c r="AC14" s="2">
        <v>3</v>
      </c>
      <c r="AD14" s="2">
        <f>IF(Table1[[#This Row],[Salary]]&lt;10000,2,0)</f>
        <v>2</v>
      </c>
      <c r="AE14" s="2">
        <f>IF(AND(Table1[[#This Row],[Tenure]]&gt;=2,Table1[[#This Row],[Tenure]]&lt;=4),2,0)</f>
        <v>0</v>
      </c>
      <c r="AF14" s="2">
        <f>IF(Table1[[#This Row],[PerformanceRating]]&lt;=2,3,0)</f>
        <v>0</v>
      </c>
      <c r="AG14" s="2">
        <f>IF(Table1[[#This Row],[OverTime]]="Yes",2,0)</f>
        <v>0</v>
      </c>
      <c r="AH14" s="2">
        <f>Table1[[#This Row],[Risk_Salary]]+Table1[[#This Row],[Risk_Tenure]]+Table1[[#This Row],[Risk_Performance]]+Table1[[#This Row],[Risk_Overtime]]</f>
        <v>2</v>
      </c>
      <c r="AI14" s="2" t="str">
        <f>IF(Table1[[#This Row],[Total_Risk_Score]]&gt;=6,"High",IF(Table1[[#This Row],[Total_Risk_Score]]&gt;=3,"Medium","Low"))</f>
        <v>Low</v>
      </c>
      <c r="AK14" t="s">
        <v>209</v>
      </c>
      <c r="AL14" s="9"/>
    </row>
    <row r="15" spans="1:38" x14ac:dyDescent="0.35">
      <c r="A15" t="s">
        <v>71</v>
      </c>
      <c r="B15" s="2">
        <v>34</v>
      </c>
      <c r="C15" s="2" t="s">
        <v>26</v>
      </c>
      <c r="D15" s="2" t="s">
        <v>22</v>
      </c>
      <c r="E15" s="2" t="s">
        <v>40</v>
      </c>
      <c r="F15" s="2">
        <v>19</v>
      </c>
      <c r="G15" s="2">
        <v>2</v>
      </c>
      <c r="H15" s="2" t="s">
        <v>31</v>
      </c>
      <c r="I15" s="2">
        <v>2</v>
      </c>
      <c r="J15" s="2" t="s">
        <v>28</v>
      </c>
      <c r="K15" s="2">
        <v>3</v>
      </c>
      <c r="L15" s="2">
        <v>1</v>
      </c>
      <c r="M15" s="2" t="s">
        <v>50</v>
      </c>
      <c r="N15" s="2">
        <v>4</v>
      </c>
      <c r="O15" s="2" t="s">
        <v>32</v>
      </c>
      <c r="P15" t="s">
        <v>40</v>
      </c>
      <c r="Q15" s="2" t="s">
        <v>48</v>
      </c>
      <c r="R15" s="2"/>
      <c r="S15" s="14">
        <v>2661</v>
      </c>
      <c r="T15" s="2">
        <v>0</v>
      </c>
      <c r="U15" s="2" t="s">
        <v>26</v>
      </c>
      <c r="V15" s="2">
        <v>3</v>
      </c>
      <c r="W15" s="2">
        <v>3</v>
      </c>
      <c r="X15" s="2">
        <v>2</v>
      </c>
      <c r="Y15" s="2">
        <v>3</v>
      </c>
      <c r="Z15" s="2">
        <v>2</v>
      </c>
      <c r="AA15" s="2">
        <v>2</v>
      </c>
      <c r="AB15" s="2">
        <v>1</v>
      </c>
      <c r="AC15" s="2">
        <v>2</v>
      </c>
      <c r="AD15" s="2">
        <f>IF(Table1[[#This Row],[Salary]]&lt;10000,2,0)</f>
        <v>2</v>
      </c>
      <c r="AE15" s="2">
        <f>IF(AND(Table1[[#This Row],[Tenure]]&gt;=2,Table1[[#This Row],[Tenure]]&lt;=4),2,0)</f>
        <v>2</v>
      </c>
      <c r="AF15" s="2">
        <f>IF(Table1[[#This Row],[PerformanceRating]]&lt;=2,3,0)</f>
        <v>0</v>
      </c>
      <c r="AG15" s="2">
        <f>IF(Table1[[#This Row],[OverTime]]="Yes",2,0)</f>
        <v>0</v>
      </c>
      <c r="AH15" s="2">
        <f>Table1[[#This Row],[Risk_Salary]]+Table1[[#This Row],[Risk_Tenure]]+Table1[[#This Row],[Risk_Performance]]+Table1[[#This Row],[Risk_Overtime]]</f>
        <v>4</v>
      </c>
      <c r="AI15" s="2" t="str">
        <f>IF(Table1[[#This Row],[Total_Risk_Score]]&gt;=6,"High",IF(Table1[[#This Row],[Total_Risk_Score]]&gt;=3,"Medium","Low"))</f>
        <v>Medium</v>
      </c>
      <c r="AK15" t="s">
        <v>210</v>
      </c>
      <c r="AL15" s="10"/>
    </row>
    <row r="16" spans="1:38" x14ac:dyDescent="0.35">
      <c r="A16" t="s">
        <v>72</v>
      </c>
      <c r="B16" s="2">
        <v>28</v>
      </c>
      <c r="C16" s="2" t="s">
        <v>21</v>
      </c>
      <c r="D16" s="2" t="s">
        <v>22</v>
      </c>
      <c r="E16" s="2" t="s">
        <v>40</v>
      </c>
      <c r="F16" s="2">
        <v>24</v>
      </c>
      <c r="G16" s="2">
        <v>3</v>
      </c>
      <c r="H16" s="2" t="s">
        <v>23</v>
      </c>
      <c r="I16" s="2">
        <v>3</v>
      </c>
      <c r="J16" s="2" t="s">
        <v>28</v>
      </c>
      <c r="K16" s="2">
        <v>2</v>
      </c>
      <c r="L16" s="2">
        <v>1</v>
      </c>
      <c r="M16" s="2" t="s">
        <v>50</v>
      </c>
      <c r="N16" s="2">
        <v>3</v>
      </c>
      <c r="O16" s="2" t="s">
        <v>25</v>
      </c>
      <c r="P16" t="s">
        <v>49</v>
      </c>
      <c r="Q16" s="2" t="s">
        <v>45</v>
      </c>
      <c r="R16" s="2"/>
      <c r="S16" s="14">
        <v>2028</v>
      </c>
      <c r="T16" s="2">
        <v>5</v>
      </c>
      <c r="U16" s="2" t="s">
        <v>21</v>
      </c>
      <c r="V16" s="2">
        <v>3</v>
      </c>
      <c r="W16" s="2">
        <v>6</v>
      </c>
      <c r="X16" s="2">
        <v>4</v>
      </c>
      <c r="Y16" s="2">
        <v>3</v>
      </c>
      <c r="Z16" s="2">
        <v>4</v>
      </c>
      <c r="AA16" s="2">
        <v>2</v>
      </c>
      <c r="AB16" s="2">
        <v>0</v>
      </c>
      <c r="AC16" s="2">
        <v>3</v>
      </c>
      <c r="AD16" s="2">
        <f>IF(Table1[[#This Row],[Salary]]&lt;10000,2,0)</f>
        <v>2</v>
      </c>
      <c r="AE16" s="2">
        <f>IF(AND(Table1[[#This Row],[Tenure]]&gt;=2,Table1[[#This Row],[Tenure]]&lt;=4),2,0)</f>
        <v>2</v>
      </c>
      <c r="AF16" s="2">
        <f>IF(Table1[[#This Row],[PerformanceRating]]&lt;=2,3,0)</f>
        <v>0</v>
      </c>
      <c r="AG16" s="2">
        <f>IF(Table1[[#This Row],[OverTime]]="Yes",2,0)</f>
        <v>2</v>
      </c>
      <c r="AH16" s="2">
        <f>Table1[[#This Row],[Risk_Salary]]+Table1[[#This Row],[Risk_Tenure]]+Table1[[#This Row],[Risk_Performance]]+Table1[[#This Row],[Risk_Overtime]]</f>
        <v>6</v>
      </c>
      <c r="AI16" s="2" t="str">
        <f>IF(Table1[[#This Row],[Total_Risk_Score]]&gt;=6,"High",IF(Table1[[#This Row],[Total_Risk_Score]]&gt;=3,"Medium","Low"))</f>
        <v>High</v>
      </c>
    </row>
    <row r="17" spans="1:35" x14ac:dyDescent="0.35">
      <c r="A17" t="s">
        <v>73</v>
      </c>
      <c r="B17" s="2">
        <v>29</v>
      </c>
      <c r="C17" s="2" t="s">
        <v>26</v>
      </c>
      <c r="D17" s="2" t="s">
        <v>22</v>
      </c>
      <c r="E17" s="2" t="s">
        <v>40</v>
      </c>
      <c r="F17" s="2">
        <v>21</v>
      </c>
      <c r="G17" s="2">
        <v>4</v>
      </c>
      <c r="H17" s="2" t="s">
        <v>23</v>
      </c>
      <c r="I17" s="2">
        <v>2</v>
      </c>
      <c r="J17" s="2" t="s">
        <v>24</v>
      </c>
      <c r="K17" s="2">
        <v>4</v>
      </c>
      <c r="L17" s="2">
        <v>3</v>
      </c>
      <c r="M17" s="2" t="s">
        <v>53</v>
      </c>
      <c r="N17" s="2">
        <v>1</v>
      </c>
      <c r="O17" s="2" t="s">
        <v>32</v>
      </c>
      <c r="P17" t="s">
        <v>40</v>
      </c>
      <c r="Q17" s="2" t="s">
        <v>47</v>
      </c>
      <c r="R17" s="2"/>
      <c r="S17" s="14">
        <v>9980</v>
      </c>
      <c r="T17" s="2">
        <v>1</v>
      </c>
      <c r="U17" s="2" t="s">
        <v>26</v>
      </c>
      <c r="V17" s="2">
        <v>3</v>
      </c>
      <c r="W17" s="2">
        <v>10</v>
      </c>
      <c r="X17" s="2">
        <v>1</v>
      </c>
      <c r="Y17" s="2">
        <v>3</v>
      </c>
      <c r="Z17" s="2">
        <v>10</v>
      </c>
      <c r="AA17" s="2">
        <v>9</v>
      </c>
      <c r="AB17" s="2">
        <v>8</v>
      </c>
      <c r="AC17" s="2">
        <v>8</v>
      </c>
      <c r="AD17" s="2">
        <f>IF(Table1[[#This Row],[Salary]]&lt;10000,2,0)</f>
        <v>2</v>
      </c>
      <c r="AE17" s="2">
        <f>IF(AND(Table1[[#This Row],[Tenure]]&gt;=2,Table1[[#This Row],[Tenure]]&lt;=4),2,0)</f>
        <v>0</v>
      </c>
      <c r="AF17" s="2">
        <f>IF(Table1[[#This Row],[PerformanceRating]]&lt;=2,3,0)</f>
        <v>0</v>
      </c>
      <c r="AG17" s="2">
        <f>IF(Table1[[#This Row],[OverTime]]="Yes",2,0)</f>
        <v>0</v>
      </c>
      <c r="AH17" s="2">
        <f>Table1[[#This Row],[Risk_Salary]]+Table1[[#This Row],[Risk_Tenure]]+Table1[[#This Row],[Risk_Performance]]+Table1[[#This Row],[Risk_Overtime]]</f>
        <v>2</v>
      </c>
      <c r="AI17" s="2" t="str">
        <f>IF(Table1[[#This Row],[Total_Risk_Score]]&gt;=6,"High",IF(Table1[[#This Row],[Total_Risk_Score]]&gt;=3,"Medium","Low"))</f>
        <v>Low</v>
      </c>
    </row>
    <row r="18" spans="1:35" x14ac:dyDescent="0.35">
      <c r="A18" t="s">
        <v>74</v>
      </c>
      <c r="B18" s="2">
        <v>32</v>
      </c>
      <c r="C18" s="2" t="s">
        <v>26</v>
      </c>
      <c r="D18" s="2" t="s">
        <v>22</v>
      </c>
      <c r="E18" s="2" t="s">
        <v>40</v>
      </c>
      <c r="F18" s="2">
        <v>5</v>
      </c>
      <c r="G18" s="2">
        <v>2</v>
      </c>
      <c r="H18" s="2" t="s">
        <v>23</v>
      </c>
      <c r="I18" s="2">
        <v>1</v>
      </c>
      <c r="J18" s="2" t="s">
        <v>28</v>
      </c>
      <c r="K18" s="2">
        <v>4</v>
      </c>
      <c r="L18" s="2">
        <v>1</v>
      </c>
      <c r="M18" s="2" t="s">
        <v>50</v>
      </c>
      <c r="N18" s="2">
        <v>2</v>
      </c>
      <c r="O18" s="2" t="s">
        <v>32</v>
      </c>
      <c r="P18" t="s">
        <v>40</v>
      </c>
      <c r="Q18" s="2" t="s">
        <v>46</v>
      </c>
      <c r="R18" s="2"/>
      <c r="S18" s="14">
        <v>3298</v>
      </c>
      <c r="T18" s="2">
        <v>0</v>
      </c>
      <c r="U18" s="2" t="s">
        <v>21</v>
      </c>
      <c r="V18" s="2">
        <v>3</v>
      </c>
      <c r="W18" s="2">
        <v>7</v>
      </c>
      <c r="X18" s="2">
        <v>5</v>
      </c>
      <c r="Y18" s="2">
        <v>2</v>
      </c>
      <c r="Z18" s="2">
        <v>6</v>
      </c>
      <c r="AA18" s="2">
        <v>2</v>
      </c>
      <c r="AB18" s="2">
        <v>0</v>
      </c>
      <c r="AC18" s="2">
        <v>5</v>
      </c>
      <c r="AD18" s="2">
        <f>IF(Table1[[#This Row],[Salary]]&lt;10000,2,0)</f>
        <v>2</v>
      </c>
      <c r="AE18" s="2">
        <f>IF(AND(Table1[[#This Row],[Tenure]]&gt;=2,Table1[[#This Row],[Tenure]]&lt;=4),2,0)</f>
        <v>0</v>
      </c>
      <c r="AF18" s="2">
        <f>IF(Table1[[#This Row],[PerformanceRating]]&lt;=2,3,0)</f>
        <v>0</v>
      </c>
      <c r="AG18" s="2">
        <f>IF(Table1[[#This Row],[OverTime]]="Yes",2,0)</f>
        <v>2</v>
      </c>
      <c r="AH18" s="2">
        <f>Table1[[#This Row],[Risk_Salary]]+Table1[[#This Row],[Risk_Tenure]]+Table1[[#This Row],[Risk_Performance]]+Table1[[#This Row],[Risk_Overtime]]</f>
        <v>4</v>
      </c>
      <c r="AI18" s="2" t="str">
        <f>IF(Table1[[#This Row],[Total_Risk_Score]]&gt;=6,"High",IF(Table1[[#This Row],[Total_Risk_Score]]&gt;=3,"Medium","Low"))</f>
        <v>Medium</v>
      </c>
    </row>
    <row r="19" spans="1:35" x14ac:dyDescent="0.35">
      <c r="A19" t="s">
        <v>75</v>
      </c>
      <c r="B19" s="2">
        <v>22</v>
      </c>
      <c r="C19" s="2" t="s">
        <v>26</v>
      </c>
      <c r="D19" s="2" t="s">
        <v>33</v>
      </c>
      <c r="E19" s="2" t="s">
        <v>40</v>
      </c>
      <c r="F19" s="2">
        <v>16</v>
      </c>
      <c r="G19" s="2">
        <v>2</v>
      </c>
      <c r="H19" s="2" t="s">
        <v>31</v>
      </c>
      <c r="I19" s="2">
        <v>4</v>
      </c>
      <c r="J19" s="2" t="s">
        <v>28</v>
      </c>
      <c r="K19" s="2">
        <v>4</v>
      </c>
      <c r="L19" s="2">
        <v>1</v>
      </c>
      <c r="M19" s="2" t="s">
        <v>50</v>
      </c>
      <c r="N19" s="2">
        <v>4</v>
      </c>
      <c r="O19" s="2" t="s">
        <v>32</v>
      </c>
      <c r="P19" t="s">
        <v>39</v>
      </c>
      <c r="Q19" s="2" t="s">
        <v>48</v>
      </c>
      <c r="R19" s="2"/>
      <c r="S19" s="14">
        <v>2935</v>
      </c>
      <c r="T19" s="2">
        <v>1</v>
      </c>
      <c r="U19" s="2" t="s">
        <v>21</v>
      </c>
      <c r="V19" s="2">
        <v>3</v>
      </c>
      <c r="W19" s="2">
        <v>1</v>
      </c>
      <c r="X19" s="2">
        <v>2</v>
      </c>
      <c r="Y19" s="2">
        <v>2</v>
      </c>
      <c r="Z19" s="2">
        <v>1</v>
      </c>
      <c r="AA19" s="2">
        <v>0</v>
      </c>
      <c r="AB19" s="2">
        <v>0</v>
      </c>
      <c r="AC19" s="2">
        <v>0</v>
      </c>
      <c r="AD19" s="2">
        <f>IF(Table1[[#This Row],[Salary]]&lt;10000,2,0)</f>
        <v>2</v>
      </c>
      <c r="AE19" s="2">
        <f>IF(AND(Table1[[#This Row],[Tenure]]&gt;=2,Table1[[#This Row],[Tenure]]&lt;=4),2,0)</f>
        <v>0</v>
      </c>
      <c r="AF19" s="2">
        <f>IF(Table1[[#This Row],[PerformanceRating]]&lt;=2,3,0)</f>
        <v>0</v>
      </c>
      <c r="AG19" s="2">
        <f>IF(Table1[[#This Row],[OverTime]]="Yes",2,0)</f>
        <v>2</v>
      </c>
      <c r="AH19" s="2">
        <f>Table1[[#This Row],[Risk_Salary]]+Table1[[#This Row],[Risk_Tenure]]+Table1[[#This Row],[Risk_Performance]]+Table1[[#This Row],[Risk_Overtime]]</f>
        <v>4</v>
      </c>
      <c r="AI19" s="2" t="str">
        <f>IF(Table1[[#This Row],[Total_Risk_Score]]&gt;=6,"High",IF(Table1[[#This Row],[Total_Risk_Score]]&gt;=3,"Medium","Low"))</f>
        <v>Medium</v>
      </c>
    </row>
    <row r="20" spans="1:35" x14ac:dyDescent="0.35">
      <c r="A20" t="s">
        <v>76</v>
      </c>
      <c r="B20" s="2">
        <v>53</v>
      </c>
      <c r="C20" s="2" t="s">
        <v>26</v>
      </c>
      <c r="D20" s="2" t="s">
        <v>22</v>
      </c>
      <c r="E20" s="2" t="s">
        <v>39</v>
      </c>
      <c r="F20" s="2">
        <v>2</v>
      </c>
      <c r="G20" s="2">
        <v>4</v>
      </c>
      <c r="H20" s="2" t="s">
        <v>23</v>
      </c>
      <c r="I20" s="2">
        <v>1</v>
      </c>
      <c r="J20" s="2" t="s">
        <v>24</v>
      </c>
      <c r="K20" s="2">
        <v>2</v>
      </c>
      <c r="L20" s="2">
        <v>4</v>
      </c>
      <c r="M20" s="2" t="s">
        <v>51</v>
      </c>
      <c r="N20" s="2">
        <v>4</v>
      </c>
      <c r="O20" s="2" t="s">
        <v>29</v>
      </c>
      <c r="P20" t="s">
        <v>49</v>
      </c>
      <c r="Q20" s="2" t="s">
        <v>47</v>
      </c>
      <c r="R20" s="2"/>
      <c r="S20" s="14">
        <v>15427</v>
      </c>
      <c r="T20" s="2">
        <v>2</v>
      </c>
      <c r="U20" s="2" t="s">
        <v>26</v>
      </c>
      <c r="V20" s="2">
        <v>3</v>
      </c>
      <c r="W20" s="2">
        <v>31</v>
      </c>
      <c r="X20" s="2">
        <v>3</v>
      </c>
      <c r="Y20" s="2">
        <v>3</v>
      </c>
      <c r="Z20" s="2">
        <v>25</v>
      </c>
      <c r="AA20" s="2">
        <v>8</v>
      </c>
      <c r="AB20" s="2">
        <v>3</v>
      </c>
      <c r="AC20" s="2">
        <v>7</v>
      </c>
      <c r="AD20" s="2">
        <f>IF(Table1[[#This Row],[Salary]]&lt;10000,2,0)</f>
        <v>0</v>
      </c>
      <c r="AE20" s="2">
        <f>IF(AND(Table1[[#This Row],[Tenure]]&gt;=2,Table1[[#This Row],[Tenure]]&lt;=4),2,0)</f>
        <v>0</v>
      </c>
      <c r="AF20" s="2">
        <f>IF(Table1[[#This Row],[PerformanceRating]]&lt;=2,3,0)</f>
        <v>0</v>
      </c>
      <c r="AG20" s="2">
        <f>IF(Table1[[#This Row],[OverTime]]="Yes",2,0)</f>
        <v>0</v>
      </c>
      <c r="AH20" s="2">
        <f>Table1[[#This Row],[Risk_Salary]]+Table1[[#This Row],[Risk_Tenure]]+Table1[[#This Row],[Risk_Performance]]+Table1[[#This Row],[Risk_Overtime]]</f>
        <v>0</v>
      </c>
      <c r="AI20" s="2" t="str">
        <f>IF(Table1[[#This Row],[Total_Risk_Score]]&gt;=6,"High",IF(Table1[[#This Row],[Total_Risk_Score]]&gt;=3,"Medium","Low"))</f>
        <v>Low</v>
      </c>
    </row>
    <row r="21" spans="1:35" x14ac:dyDescent="0.35">
      <c r="A21" t="s">
        <v>77</v>
      </c>
      <c r="B21" s="2">
        <v>38</v>
      </c>
      <c r="C21" s="2" t="s">
        <v>26</v>
      </c>
      <c r="D21" s="2" t="s">
        <v>22</v>
      </c>
      <c r="E21" s="2" t="s">
        <v>40</v>
      </c>
      <c r="F21" s="2">
        <v>2</v>
      </c>
      <c r="G21" s="2">
        <v>3</v>
      </c>
      <c r="H21" s="2" t="s">
        <v>23</v>
      </c>
      <c r="I21" s="2">
        <v>4</v>
      </c>
      <c r="J21" s="2" t="s">
        <v>28</v>
      </c>
      <c r="K21" s="2">
        <v>3</v>
      </c>
      <c r="L21" s="2">
        <v>1</v>
      </c>
      <c r="M21" s="2" t="s">
        <v>50</v>
      </c>
      <c r="N21" s="2">
        <v>4</v>
      </c>
      <c r="O21" s="2" t="s">
        <v>25</v>
      </c>
      <c r="P21" t="s">
        <v>49</v>
      </c>
      <c r="Q21" s="2" t="s">
        <v>46</v>
      </c>
      <c r="R21" s="2"/>
      <c r="S21" s="14">
        <v>3944</v>
      </c>
      <c r="T21" s="2">
        <v>5</v>
      </c>
      <c r="U21" s="2" t="s">
        <v>21</v>
      </c>
      <c r="V21" s="2">
        <v>3</v>
      </c>
      <c r="W21" s="2">
        <v>6</v>
      </c>
      <c r="X21" s="2">
        <v>3</v>
      </c>
      <c r="Y21" s="2">
        <v>3</v>
      </c>
      <c r="Z21" s="2">
        <v>3</v>
      </c>
      <c r="AA21" s="2">
        <v>2</v>
      </c>
      <c r="AB21" s="2">
        <v>1</v>
      </c>
      <c r="AC21" s="2">
        <v>2</v>
      </c>
      <c r="AD21" s="2">
        <f>IF(Table1[[#This Row],[Salary]]&lt;10000,2,0)</f>
        <v>2</v>
      </c>
      <c r="AE21" s="2">
        <f>IF(AND(Table1[[#This Row],[Tenure]]&gt;=2,Table1[[#This Row],[Tenure]]&lt;=4),2,0)</f>
        <v>2</v>
      </c>
      <c r="AF21" s="2">
        <f>IF(Table1[[#This Row],[PerformanceRating]]&lt;=2,3,0)</f>
        <v>0</v>
      </c>
      <c r="AG21" s="2">
        <f>IF(Table1[[#This Row],[OverTime]]="Yes",2,0)</f>
        <v>2</v>
      </c>
      <c r="AH21" s="2">
        <f>Table1[[#This Row],[Risk_Salary]]+Table1[[#This Row],[Risk_Tenure]]+Table1[[#This Row],[Risk_Performance]]+Table1[[#This Row],[Risk_Overtime]]</f>
        <v>6</v>
      </c>
      <c r="AI21" s="2" t="str">
        <f>IF(Table1[[#This Row],[Total_Risk_Score]]&gt;=6,"High",IF(Table1[[#This Row],[Total_Risk_Score]]&gt;=3,"Medium","Low"))</f>
        <v>High</v>
      </c>
    </row>
    <row r="22" spans="1:35" x14ac:dyDescent="0.35">
      <c r="A22" t="s">
        <v>78</v>
      </c>
      <c r="B22" s="2">
        <v>24</v>
      </c>
      <c r="C22" s="2" t="s">
        <v>26</v>
      </c>
      <c r="D22" s="2" t="s">
        <v>33</v>
      </c>
      <c r="E22" s="2" t="s">
        <v>40</v>
      </c>
      <c r="F22" s="2">
        <v>11</v>
      </c>
      <c r="G22" s="2">
        <v>2</v>
      </c>
      <c r="H22" s="2" t="s">
        <v>30</v>
      </c>
      <c r="I22" s="2">
        <v>1</v>
      </c>
      <c r="J22" s="2" t="s">
        <v>24</v>
      </c>
      <c r="K22" s="2">
        <v>4</v>
      </c>
      <c r="L22" s="2">
        <v>2</v>
      </c>
      <c r="M22" s="2" t="s">
        <v>53</v>
      </c>
      <c r="N22" s="2">
        <v>3</v>
      </c>
      <c r="O22" s="2" t="s">
        <v>32</v>
      </c>
      <c r="P22" t="s">
        <v>40</v>
      </c>
      <c r="Q22" s="2" t="s">
        <v>48</v>
      </c>
      <c r="R22" s="2"/>
      <c r="S22" s="14">
        <v>4011</v>
      </c>
      <c r="T22" s="2">
        <v>0</v>
      </c>
      <c r="U22" s="2" t="s">
        <v>26</v>
      </c>
      <c r="V22" s="2">
        <v>2</v>
      </c>
      <c r="W22" s="2">
        <v>5</v>
      </c>
      <c r="X22" s="2">
        <v>5</v>
      </c>
      <c r="Y22" s="2">
        <v>2</v>
      </c>
      <c r="Z22" s="2">
        <v>4</v>
      </c>
      <c r="AA22" s="2">
        <v>2</v>
      </c>
      <c r="AB22" s="2">
        <v>1</v>
      </c>
      <c r="AC22" s="2">
        <v>3</v>
      </c>
      <c r="AD22" s="2">
        <f>IF(Table1[[#This Row],[Salary]]&lt;10000,2,0)</f>
        <v>2</v>
      </c>
      <c r="AE22" s="2">
        <f>IF(AND(Table1[[#This Row],[Tenure]]&gt;=2,Table1[[#This Row],[Tenure]]&lt;=4),2,0)</f>
        <v>2</v>
      </c>
      <c r="AF22" s="2">
        <f>IF(Table1[[#This Row],[PerformanceRating]]&lt;=2,3,0)</f>
        <v>3</v>
      </c>
      <c r="AG22" s="2">
        <f>IF(Table1[[#This Row],[OverTime]]="Yes",2,0)</f>
        <v>0</v>
      </c>
      <c r="AH22" s="2">
        <f>Table1[[#This Row],[Risk_Salary]]+Table1[[#This Row],[Risk_Tenure]]+Table1[[#This Row],[Risk_Performance]]+Table1[[#This Row],[Risk_Overtime]]</f>
        <v>7</v>
      </c>
      <c r="AI22" s="2" t="str">
        <f>IF(Table1[[#This Row],[Total_Risk_Score]]&gt;=6,"High",IF(Table1[[#This Row],[Total_Risk_Score]]&gt;=3,"Medium","Low"))</f>
        <v>High</v>
      </c>
    </row>
    <row r="23" spans="1:35" x14ac:dyDescent="0.35">
      <c r="A23" t="s">
        <v>79</v>
      </c>
      <c r="B23" s="2">
        <v>36</v>
      </c>
      <c r="C23" s="2" t="s">
        <v>21</v>
      </c>
      <c r="D23" s="2" t="s">
        <v>22</v>
      </c>
      <c r="E23" s="2" t="s">
        <v>39</v>
      </c>
      <c r="F23" s="2">
        <v>9</v>
      </c>
      <c r="G23" s="2">
        <v>4</v>
      </c>
      <c r="H23" s="2" t="s">
        <v>23</v>
      </c>
      <c r="I23" s="2">
        <v>3</v>
      </c>
      <c r="J23" s="2" t="s">
        <v>28</v>
      </c>
      <c r="K23" s="2">
        <v>2</v>
      </c>
      <c r="L23" s="2">
        <v>1</v>
      </c>
      <c r="M23" s="2" t="s">
        <v>53</v>
      </c>
      <c r="N23" s="2">
        <v>1</v>
      </c>
      <c r="O23" s="2" t="s">
        <v>25</v>
      </c>
      <c r="P23" t="s">
        <v>40</v>
      </c>
      <c r="Q23" s="2" t="s">
        <v>47</v>
      </c>
      <c r="R23" s="2"/>
      <c r="S23" s="14">
        <v>3407</v>
      </c>
      <c r="T23" s="2">
        <v>7</v>
      </c>
      <c r="U23" s="2" t="s">
        <v>26</v>
      </c>
      <c r="V23" s="2">
        <v>4</v>
      </c>
      <c r="W23" s="2">
        <v>10</v>
      </c>
      <c r="X23" s="2">
        <v>4</v>
      </c>
      <c r="Y23" s="2">
        <v>3</v>
      </c>
      <c r="Z23" s="2">
        <v>5</v>
      </c>
      <c r="AA23" s="2">
        <v>3</v>
      </c>
      <c r="AB23" s="2">
        <v>0</v>
      </c>
      <c r="AC23" s="2">
        <v>3</v>
      </c>
      <c r="AD23" s="2">
        <f>IF(Table1[[#This Row],[Salary]]&lt;10000,2,0)</f>
        <v>2</v>
      </c>
      <c r="AE23" s="2">
        <f>IF(AND(Table1[[#This Row],[Tenure]]&gt;=2,Table1[[#This Row],[Tenure]]&lt;=4),2,0)</f>
        <v>0</v>
      </c>
      <c r="AF23" s="2">
        <f>IF(Table1[[#This Row],[PerformanceRating]]&lt;=2,3,0)</f>
        <v>0</v>
      </c>
      <c r="AG23" s="2">
        <f>IF(Table1[[#This Row],[OverTime]]="Yes",2,0)</f>
        <v>0</v>
      </c>
      <c r="AH23" s="2">
        <f>Table1[[#This Row],[Risk_Salary]]+Table1[[#This Row],[Risk_Tenure]]+Table1[[#This Row],[Risk_Performance]]+Table1[[#This Row],[Risk_Overtime]]</f>
        <v>2</v>
      </c>
      <c r="AI23" s="2" t="str">
        <f>IF(Table1[[#This Row],[Total_Risk_Score]]&gt;=6,"High",IF(Table1[[#This Row],[Total_Risk_Score]]&gt;=3,"Medium","Low"))</f>
        <v>Low</v>
      </c>
    </row>
    <row r="24" spans="1:35" x14ac:dyDescent="0.35">
      <c r="A24" t="s">
        <v>80</v>
      </c>
      <c r="B24" s="2">
        <v>34</v>
      </c>
      <c r="C24" s="2" t="s">
        <v>26</v>
      </c>
      <c r="D24" s="2" t="s">
        <v>22</v>
      </c>
      <c r="E24" s="2" t="s">
        <v>40</v>
      </c>
      <c r="F24" s="2">
        <v>7</v>
      </c>
      <c r="G24" s="2">
        <v>4</v>
      </c>
      <c r="H24" s="2" t="s">
        <v>23</v>
      </c>
      <c r="I24" s="2">
        <v>1</v>
      </c>
      <c r="J24" s="2" t="s">
        <v>24</v>
      </c>
      <c r="K24" s="2">
        <v>3</v>
      </c>
      <c r="L24" s="2">
        <v>3</v>
      </c>
      <c r="M24" s="2" t="s">
        <v>53</v>
      </c>
      <c r="N24" s="2">
        <v>2</v>
      </c>
      <c r="O24" s="2" t="s">
        <v>25</v>
      </c>
      <c r="P24" t="s">
        <v>39</v>
      </c>
      <c r="Q24" s="2" t="s">
        <v>47</v>
      </c>
      <c r="R24" s="2"/>
      <c r="S24" s="14">
        <v>11994</v>
      </c>
      <c r="T24" s="2">
        <v>0</v>
      </c>
      <c r="U24" s="2" t="s">
        <v>26</v>
      </c>
      <c r="V24" s="2">
        <v>3</v>
      </c>
      <c r="W24" s="2">
        <v>13</v>
      </c>
      <c r="X24" s="2">
        <v>4</v>
      </c>
      <c r="Y24" s="2">
        <v>3</v>
      </c>
      <c r="Z24" s="2">
        <v>12</v>
      </c>
      <c r="AA24" s="2">
        <v>6</v>
      </c>
      <c r="AB24" s="2">
        <v>2</v>
      </c>
      <c r="AC24" s="2">
        <v>11</v>
      </c>
      <c r="AD24" s="2">
        <f>IF(Table1[[#This Row],[Salary]]&lt;10000,2,0)</f>
        <v>0</v>
      </c>
      <c r="AE24" s="2">
        <f>IF(AND(Table1[[#This Row],[Tenure]]&gt;=2,Table1[[#This Row],[Tenure]]&lt;=4),2,0)</f>
        <v>0</v>
      </c>
      <c r="AF24" s="2">
        <f>IF(Table1[[#This Row],[PerformanceRating]]&lt;=2,3,0)</f>
        <v>0</v>
      </c>
      <c r="AG24" s="2">
        <f>IF(Table1[[#This Row],[OverTime]]="Yes",2,0)</f>
        <v>0</v>
      </c>
      <c r="AH24" s="2">
        <f>Table1[[#This Row],[Risk_Salary]]+Table1[[#This Row],[Risk_Tenure]]+Table1[[#This Row],[Risk_Performance]]+Table1[[#This Row],[Risk_Overtime]]</f>
        <v>0</v>
      </c>
      <c r="AI24" s="2" t="str">
        <f>IF(Table1[[#This Row],[Total_Risk_Score]]&gt;=6,"High",IF(Table1[[#This Row],[Total_Risk_Score]]&gt;=3,"Medium","Low"))</f>
        <v>Low</v>
      </c>
    </row>
    <row r="25" spans="1:35" x14ac:dyDescent="0.35">
      <c r="A25" t="s">
        <v>81</v>
      </c>
      <c r="B25" s="2">
        <v>21</v>
      </c>
      <c r="C25" s="2" t="s">
        <v>26</v>
      </c>
      <c r="D25" s="2" t="s">
        <v>22</v>
      </c>
      <c r="E25" s="2" t="s">
        <v>40</v>
      </c>
      <c r="F25" s="2">
        <v>15</v>
      </c>
      <c r="G25" s="2">
        <v>2</v>
      </c>
      <c r="H25" s="2" t="s">
        <v>23</v>
      </c>
      <c r="I25" s="2">
        <v>3</v>
      </c>
      <c r="J25" s="2" t="s">
        <v>28</v>
      </c>
      <c r="K25" s="2">
        <v>3</v>
      </c>
      <c r="L25" s="2">
        <v>1</v>
      </c>
      <c r="M25" s="2" t="s">
        <v>50</v>
      </c>
      <c r="N25" s="2">
        <v>4</v>
      </c>
      <c r="O25" s="2" t="s">
        <v>25</v>
      </c>
      <c r="P25" t="s">
        <v>39</v>
      </c>
      <c r="Q25" s="2" t="s">
        <v>48</v>
      </c>
      <c r="R25" s="2"/>
      <c r="S25" s="14">
        <v>1232</v>
      </c>
      <c r="T25" s="2">
        <v>1</v>
      </c>
      <c r="U25" s="2" t="s">
        <v>26</v>
      </c>
      <c r="V25" s="2">
        <v>3</v>
      </c>
      <c r="W25" s="2">
        <v>0</v>
      </c>
      <c r="X25" s="2">
        <v>6</v>
      </c>
      <c r="Y25" s="2">
        <v>3</v>
      </c>
      <c r="Z25" s="2">
        <v>0</v>
      </c>
      <c r="AA25" s="2">
        <v>0</v>
      </c>
      <c r="AB25" s="2">
        <v>0</v>
      </c>
      <c r="AC25" s="2">
        <v>0</v>
      </c>
      <c r="AD25" s="2">
        <f>IF(Table1[[#This Row],[Salary]]&lt;10000,2,0)</f>
        <v>2</v>
      </c>
      <c r="AE25" s="2">
        <f>IF(AND(Table1[[#This Row],[Tenure]]&gt;=2,Table1[[#This Row],[Tenure]]&lt;=4),2,0)</f>
        <v>0</v>
      </c>
      <c r="AF25" s="2">
        <f>IF(Table1[[#This Row],[PerformanceRating]]&lt;=2,3,0)</f>
        <v>0</v>
      </c>
      <c r="AG25" s="2">
        <f>IF(Table1[[#This Row],[OverTime]]="Yes",2,0)</f>
        <v>0</v>
      </c>
      <c r="AH25" s="2">
        <f>Table1[[#This Row],[Risk_Salary]]+Table1[[#This Row],[Risk_Tenure]]+Table1[[#This Row],[Risk_Performance]]+Table1[[#This Row],[Risk_Overtime]]</f>
        <v>2</v>
      </c>
      <c r="AI25" s="2" t="str">
        <f>IF(Table1[[#This Row],[Total_Risk_Score]]&gt;=6,"High",IF(Table1[[#This Row],[Total_Risk_Score]]&gt;=3,"Medium","Low"))</f>
        <v>Low</v>
      </c>
    </row>
    <row r="26" spans="1:35" x14ac:dyDescent="0.35">
      <c r="A26" t="s">
        <v>82</v>
      </c>
      <c r="B26" s="2">
        <v>34</v>
      </c>
      <c r="C26" s="2" t="s">
        <v>21</v>
      </c>
      <c r="D26" s="2" t="s">
        <v>22</v>
      </c>
      <c r="E26" s="2" t="s">
        <v>40</v>
      </c>
      <c r="F26" s="2">
        <v>6</v>
      </c>
      <c r="G26" s="2">
        <v>1</v>
      </c>
      <c r="H26" s="2" t="s">
        <v>31</v>
      </c>
      <c r="I26" s="2">
        <v>2</v>
      </c>
      <c r="J26" s="2" t="s">
        <v>28</v>
      </c>
      <c r="K26" s="2">
        <v>3</v>
      </c>
      <c r="L26" s="2">
        <v>1</v>
      </c>
      <c r="M26" s="2" t="s">
        <v>50</v>
      </c>
      <c r="N26" s="2">
        <v>1</v>
      </c>
      <c r="O26" s="2" t="s">
        <v>25</v>
      </c>
      <c r="P26" t="s">
        <v>40</v>
      </c>
      <c r="Q26" s="2" t="s">
        <v>45</v>
      </c>
      <c r="R26" s="2"/>
      <c r="S26" s="14">
        <v>2960</v>
      </c>
      <c r="T26" s="2">
        <v>2</v>
      </c>
      <c r="U26" s="2" t="s">
        <v>26</v>
      </c>
      <c r="V26" s="2">
        <v>3</v>
      </c>
      <c r="W26" s="2">
        <v>8</v>
      </c>
      <c r="X26" s="2">
        <v>2</v>
      </c>
      <c r="Y26" s="2">
        <v>3</v>
      </c>
      <c r="Z26" s="2">
        <v>4</v>
      </c>
      <c r="AA26" s="2">
        <v>2</v>
      </c>
      <c r="AB26" s="2">
        <v>1</v>
      </c>
      <c r="AC26" s="2">
        <v>3</v>
      </c>
      <c r="AD26" s="2">
        <f>IF(Table1[[#This Row],[Salary]]&lt;10000,2,0)</f>
        <v>2</v>
      </c>
      <c r="AE26" s="2">
        <f>IF(AND(Table1[[#This Row],[Tenure]]&gt;=2,Table1[[#This Row],[Tenure]]&lt;=4),2,0)</f>
        <v>2</v>
      </c>
      <c r="AF26" s="2">
        <f>IF(Table1[[#This Row],[PerformanceRating]]&lt;=2,3,0)</f>
        <v>0</v>
      </c>
      <c r="AG26" s="2">
        <f>IF(Table1[[#This Row],[OverTime]]="Yes",2,0)</f>
        <v>0</v>
      </c>
      <c r="AH26" s="2">
        <f>Table1[[#This Row],[Risk_Salary]]+Table1[[#This Row],[Risk_Tenure]]+Table1[[#This Row],[Risk_Performance]]+Table1[[#This Row],[Risk_Overtime]]</f>
        <v>4</v>
      </c>
      <c r="AI26" s="2" t="str">
        <f>IF(Table1[[#This Row],[Total_Risk_Score]]&gt;=6,"High",IF(Table1[[#This Row],[Total_Risk_Score]]&gt;=3,"Medium","Low"))</f>
        <v>Medium</v>
      </c>
    </row>
    <row r="27" spans="1:35" x14ac:dyDescent="0.35">
      <c r="A27" t="s">
        <v>83</v>
      </c>
      <c r="B27" s="2">
        <v>53</v>
      </c>
      <c r="C27" s="2" t="s">
        <v>26</v>
      </c>
      <c r="D27" s="2" t="s">
        <v>22</v>
      </c>
      <c r="E27" s="2" t="s">
        <v>40</v>
      </c>
      <c r="F27" s="2">
        <v>5</v>
      </c>
      <c r="G27" s="2">
        <v>3</v>
      </c>
      <c r="H27" s="2" t="s">
        <v>30</v>
      </c>
      <c r="I27" s="2">
        <v>3</v>
      </c>
      <c r="J27" s="2" t="s">
        <v>24</v>
      </c>
      <c r="K27" s="2">
        <v>3</v>
      </c>
      <c r="L27" s="2">
        <v>5</v>
      </c>
      <c r="M27" s="2" t="s">
        <v>51</v>
      </c>
      <c r="N27" s="2">
        <v>3</v>
      </c>
      <c r="O27" s="2" t="s">
        <v>32</v>
      </c>
      <c r="P27" t="s">
        <v>49</v>
      </c>
      <c r="Q27" s="2" t="s">
        <v>47</v>
      </c>
      <c r="R27" s="2"/>
      <c r="S27" s="14">
        <v>19094</v>
      </c>
      <c r="T27" s="2">
        <v>4</v>
      </c>
      <c r="U27" s="2" t="s">
        <v>26</v>
      </c>
      <c r="V27" s="2">
        <v>3</v>
      </c>
      <c r="W27" s="2">
        <v>26</v>
      </c>
      <c r="X27" s="2">
        <v>3</v>
      </c>
      <c r="Y27" s="2">
        <v>2</v>
      </c>
      <c r="Z27" s="2">
        <v>14</v>
      </c>
      <c r="AA27" s="2">
        <v>13</v>
      </c>
      <c r="AB27" s="2">
        <v>4</v>
      </c>
      <c r="AC27" s="2">
        <v>8</v>
      </c>
      <c r="AD27" s="2">
        <f>IF(Table1[[#This Row],[Salary]]&lt;10000,2,0)</f>
        <v>0</v>
      </c>
      <c r="AE27" s="2">
        <f>IF(AND(Table1[[#This Row],[Tenure]]&gt;=2,Table1[[#This Row],[Tenure]]&lt;=4),2,0)</f>
        <v>0</v>
      </c>
      <c r="AF27" s="2">
        <f>IF(Table1[[#This Row],[PerformanceRating]]&lt;=2,3,0)</f>
        <v>0</v>
      </c>
      <c r="AG27" s="2">
        <f>IF(Table1[[#This Row],[OverTime]]="Yes",2,0)</f>
        <v>0</v>
      </c>
      <c r="AH27" s="2">
        <f>Table1[[#This Row],[Risk_Salary]]+Table1[[#This Row],[Risk_Tenure]]+Table1[[#This Row],[Risk_Performance]]+Table1[[#This Row],[Risk_Overtime]]</f>
        <v>0</v>
      </c>
      <c r="AI27" s="2" t="str">
        <f>IF(Table1[[#This Row],[Total_Risk_Score]]&gt;=6,"High",IF(Table1[[#This Row],[Total_Risk_Score]]&gt;=3,"Medium","Low"))</f>
        <v>Low</v>
      </c>
    </row>
    <row r="28" spans="1:35" x14ac:dyDescent="0.35">
      <c r="A28" t="s">
        <v>84</v>
      </c>
      <c r="B28" s="2">
        <v>32</v>
      </c>
      <c r="C28" s="2" t="s">
        <v>21</v>
      </c>
      <c r="D28" s="2" t="s">
        <v>27</v>
      </c>
      <c r="E28" s="2" t="s">
        <v>40</v>
      </c>
      <c r="F28" s="2">
        <v>16</v>
      </c>
      <c r="G28" s="2">
        <v>1</v>
      </c>
      <c r="H28" s="2" t="s">
        <v>23</v>
      </c>
      <c r="I28" s="2">
        <v>2</v>
      </c>
      <c r="J28" s="2" t="s">
        <v>24</v>
      </c>
      <c r="K28" s="2">
        <v>1</v>
      </c>
      <c r="L28" s="2">
        <v>1</v>
      </c>
      <c r="M28" s="2" t="s">
        <v>50</v>
      </c>
      <c r="N28" s="2">
        <v>1</v>
      </c>
      <c r="O28" s="2" t="s">
        <v>25</v>
      </c>
      <c r="P28" t="s">
        <v>39</v>
      </c>
      <c r="Q28" s="2" t="s">
        <v>46</v>
      </c>
      <c r="R28" s="2"/>
      <c r="S28" s="14">
        <v>3919</v>
      </c>
      <c r="T28" s="2">
        <v>1</v>
      </c>
      <c r="U28" s="2" t="s">
        <v>21</v>
      </c>
      <c r="V28" s="2">
        <v>4</v>
      </c>
      <c r="W28" s="2">
        <v>10</v>
      </c>
      <c r="X28" s="2">
        <v>5</v>
      </c>
      <c r="Y28" s="2">
        <v>3</v>
      </c>
      <c r="Z28" s="2">
        <v>10</v>
      </c>
      <c r="AA28" s="2">
        <v>2</v>
      </c>
      <c r="AB28" s="2">
        <v>6</v>
      </c>
      <c r="AC28" s="2">
        <v>7</v>
      </c>
      <c r="AD28" s="2">
        <f>IF(Table1[[#This Row],[Salary]]&lt;10000,2,0)</f>
        <v>2</v>
      </c>
      <c r="AE28" s="2">
        <f>IF(AND(Table1[[#This Row],[Tenure]]&gt;=2,Table1[[#This Row],[Tenure]]&lt;=4),2,0)</f>
        <v>0</v>
      </c>
      <c r="AF28" s="2">
        <f>IF(Table1[[#This Row],[PerformanceRating]]&lt;=2,3,0)</f>
        <v>0</v>
      </c>
      <c r="AG28" s="2">
        <f>IF(Table1[[#This Row],[OverTime]]="Yes",2,0)</f>
        <v>2</v>
      </c>
      <c r="AH28" s="2">
        <f>Table1[[#This Row],[Risk_Salary]]+Table1[[#This Row],[Risk_Tenure]]+Table1[[#This Row],[Risk_Performance]]+Table1[[#This Row],[Risk_Overtime]]</f>
        <v>4</v>
      </c>
      <c r="AI28" s="2" t="str">
        <f>IF(Table1[[#This Row],[Total_Risk_Score]]&gt;=6,"High",IF(Table1[[#This Row],[Total_Risk_Score]]&gt;=3,"Medium","Low"))</f>
        <v>Medium</v>
      </c>
    </row>
    <row r="29" spans="1:35" x14ac:dyDescent="0.35">
      <c r="A29" t="s">
        <v>85</v>
      </c>
      <c r="B29" s="2">
        <v>42</v>
      </c>
      <c r="C29" s="2" t="s">
        <v>26</v>
      </c>
      <c r="D29" s="2" t="s">
        <v>22</v>
      </c>
      <c r="E29" s="2" t="s">
        <v>39</v>
      </c>
      <c r="F29" s="2">
        <v>8</v>
      </c>
      <c r="G29" s="2">
        <v>4</v>
      </c>
      <c r="H29" s="2" t="s">
        <v>34</v>
      </c>
      <c r="I29" s="2">
        <v>3</v>
      </c>
      <c r="J29" s="2" t="s">
        <v>28</v>
      </c>
      <c r="K29" s="2">
        <v>3</v>
      </c>
      <c r="L29" s="2">
        <v>2</v>
      </c>
      <c r="M29" s="2" t="s">
        <v>50</v>
      </c>
      <c r="N29" s="2">
        <v>2</v>
      </c>
      <c r="O29" s="2" t="s">
        <v>29</v>
      </c>
      <c r="P29" t="s">
        <v>39</v>
      </c>
      <c r="Q29" s="2" t="s">
        <v>48</v>
      </c>
      <c r="R29" s="2"/>
      <c r="S29" s="14">
        <v>6825</v>
      </c>
      <c r="T29" s="2">
        <v>0</v>
      </c>
      <c r="U29" s="2" t="s">
        <v>26</v>
      </c>
      <c r="V29" s="2">
        <v>3</v>
      </c>
      <c r="W29" s="2">
        <v>10</v>
      </c>
      <c r="X29" s="2">
        <v>2</v>
      </c>
      <c r="Y29" s="2">
        <v>3</v>
      </c>
      <c r="Z29" s="2">
        <v>9</v>
      </c>
      <c r="AA29" s="2">
        <v>7</v>
      </c>
      <c r="AB29" s="2">
        <v>4</v>
      </c>
      <c r="AC29" s="2">
        <v>2</v>
      </c>
      <c r="AD29" s="2">
        <f>IF(Table1[[#This Row],[Salary]]&lt;10000,2,0)</f>
        <v>2</v>
      </c>
      <c r="AE29" s="2">
        <f>IF(AND(Table1[[#This Row],[Tenure]]&gt;=2,Table1[[#This Row],[Tenure]]&lt;=4),2,0)</f>
        <v>0</v>
      </c>
      <c r="AF29" s="2">
        <f>IF(Table1[[#This Row],[PerformanceRating]]&lt;=2,3,0)</f>
        <v>0</v>
      </c>
      <c r="AG29" s="2">
        <f>IF(Table1[[#This Row],[OverTime]]="Yes",2,0)</f>
        <v>0</v>
      </c>
      <c r="AH29" s="2">
        <f>Table1[[#This Row],[Risk_Salary]]+Table1[[#This Row],[Risk_Tenure]]+Table1[[#This Row],[Risk_Performance]]+Table1[[#This Row],[Risk_Overtime]]</f>
        <v>2</v>
      </c>
      <c r="AI29" s="2" t="str">
        <f>IF(Table1[[#This Row],[Total_Risk_Score]]&gt;=6,"High",IF(Table1[[#This Row],[Total_Risk_Score]]&gt;=3,"Medium","Low"))</f>
        <v>Low</v>
      </c>
    </row>
    <row r="30" spans="1:35" x14ac:dyDescent="0.35">
      <c r="A30" t="s">
        <v>86</v>
      </c>
      <c r="B30" s="2">
        <v>44</v>
      </c>
      <c r="C30" s="2" t="s">
        <v>26</v>
      </c>
      <c r="D30" s="2" t="s">
        <v>22</v>
      </c>
      <c r="E30" s="2" t="s">
        <v>40</v>
      </c>
      <c r="F30" s="2">
        <v>7</v>
      </c>
      <c r="G30" s="2">
        <v>4</v>
      </c>
      <c r="H30" s="2" t="s">
        <v>31</v>
      </c>
      <c r="I30" s="2">
        <v>1</v>
      </c>
      <c r="J30" s="2" t="s">
        <v>24</v>
      </c>
      <c r="K30" s="2">
        <v>2</v>
      </c>
      <c r="L30" s="2">
        <v>3</v>
      </c>
      <c r="M30" s="2" t="s">
        <v>53</v>
      </c>
      <c r="N30" s="2">
        <v>4</v>
      </c>
      <c r="O30" s="2" t="s">
        <v>29</v>
      </c>
      <c r="P30" t="s">
        <v>49</v>
      </c>
      <c r="Q30" s="2" t="s">
        <v>47</v>
      </c>
      <c r="R30" s="2"/>
      <c r="S30" s="14">
        <v>10248</v>
      </c>
      <c r="T30" s="2">
        <v>3</v>
      </c>
      <c r="U30" s="2" t="s">
        <v>26</v>
      </c>
      <c r="V30" s="2">
        <v>3</v>
      </c>
      <c r="W30" s="2">
        <v>24</v>
      </c>
      <c r="X30" s="2">
        <v>4</v>
      </c>
      <c r="Y30" s="2">
        <v>3</v>
      </c>
      <c r="Z30" s="2">
        <v>22</v>
      </c>
      <c r="AA30" s="2">
        <v>6</v>
      </c>
      <c r="AB30" s="2">
        <v>5</v>
      </c>
      <c r="AC30" s="2">
        <v>17</v>
      </c>
      <c r="AD30" s="2">
        <f>IF(Table1[[#This Row],[Salary]]&lt;10000,2,0)</f>
        <v>0</v>
      </c>
      <c r="AE30" s="2">
        <f>IF(AND(Table1[[#This Row],[Tenure]]&gt;=2,Table1[[#This Row],[Tenure]]&lt;=4),2,0)</f>
        <v>0</v>
      </c>
      <c r="AF30" s="2">
        <f>IF(Table1[[#This Row],[PerformanceRating]]&lt;=2,3,0)</f>
        <v>0</v>
      </c>
      <c r="AG30" s="2">
        <f>IF(Table1[[#This Row],[OverTime]]="Yes",2,0)</f>
        <v>0</v>
      </c>
      <c r="AH30" s="2">
        <f>Table1[[#This Row],[Risk_Salary]]+Table1[[#This Row],[Risk_Tenure]]+Table1[[#This Row],[Risk_Performance]]+Table1[[#This Row],[Risk_Overtime]]</f>
        <v>0</v>
      </c>
      <c r="AI30" s="2" t="str">
        <f>IF(Table1[[#This Row],[Total_Risk_Score]]&gt;=6,"High",IF(Table1[[#This Row],[Total_Risk_Score]]&gt;=3,"Medium","Low"))</f>
        <v>Low</v>
      </c>
    </row>
    <row r="31" spans="1:35" x14ac:dyDescent="0.35">
      <c r="A31" t="s">
        <v>87</v>
      </c>
      <c r="B31" s="2">
        <v>46</v>
      </c>
      <c r="C31" s="2" t="s">
        <v>26</v>
      </c>
      <c r="D31" s="2" t="s">
        <v>22</v>
      </c>
      <c r="E31" s="2" t="s">
        <v>39</v>
      </c>
      <c r="F31" s="2">
        <v>2</v>
      </c>
      <c r="G31" s="2">
        <v>4</v>
      </c>
      <c r="H31" s="2" t="s">
        <v>34</v>
      </c>
      <c r="I31" s="2">
        <v>2</v>
      </c>
      <c r="J31" s="2" t="s">
        <v>24</v>
      </c>
      <c r="K31" s="2">
        <v>3</v>
      </c>
      <c r="L31" s="2">
        <v>5</v>
      </c>
      <c r="M31" s="2" t="s">
        <v>51</v>
      </c>
      <c r="N31" s="2">
        <v>1</v>
      </c>
      <c r="O31" s="2" t="s">
        <v>25</v>
      </c>
      <c r="P31" t="s">
        <v>49</v>
      </c>
      <c r="Q31" s="2" t="s">
        <v>46</v>
      </c>
      <c r="R31" s="2"/>
      <c r="S31" s="14">
        <v>18947</v>
      </c>
      <c r="T31" s="2">
        <v>3</v>
      </c>
      <c r="U31" s="2" t="s">
        <v>26</v>
      </c>
      <c r="V31" s="2">
        <v>3</v>
      </c>
      <c r="W31" s="2">
        <v>22</v>
      </c>
      <c r="X31" s="2">
        <v>2</v>
      </c>
      <c r="Y31" s="2">
        <v>2</v>
      </c>
      <c r="Z31" s="2">
        <v>2</v>
      </c>
      <c r="AA31" s="2">
        <v>2</v>
      </c>
      <c r="AB31" s="2">
        <v>2</v>
      </c>
      <c r="AC31" s="2">
        <v>1</v>
      </c>
      <c r="AD31" s="2">
        <f>IF(Table1[[#This Row],[Salary]]&lt;10000,2,0)</f>
        <v>0</v>
      </c>
      <c r="AE31" s="2">
        <f>IF(AND(Table1[[#This Row],[Tenure]]&gt;=2,Table1[[#This Row],[Tenure]]&lt;=4),2,0)</f>
        <v>2</v>
      </c>
      <c r="AF31" s="2">
        <f>IF(Table1[[#This Row],[PerformanceRating]]&lt;=2,3,0)</f>
        <v>0</v>
      </c>
      <c r="AG31" s="2">
        <f>IF(Table1[[#This Row],[OverTime]]="Yes",2,0)</f>
        <v>0</v>
      </c>
      <c r="AH31" s="2">
        <f>Table1[[#This Row],[Risk_Salary]]+Table1[[#This Row],[Risk_Tenure]]+Table1[[#This Row],[Risk_Performance]]+Table1[[#This Row],[Risk_Overtime]]</f>
        <v>2</v>
      </c>
      <c r="AI31" s="2" t="str">
        <f>IF(Table1[[#This Row],[Total_Risk_Score]]&gt;=6,"High",IF(Table1[[#This Row],[Total_Risk_Score]]&gt;=3,"Medium","Low"))</f>
        <v>Low</v>
      </c>
    </row>
    <row r="32" spans="1:35" x14ac:dyDescent="0.35">
      <c r="A32" t="s">
        <v>88</v>
      </c>
      <c r="B32" s="2">
        <v>33</v>
      </c>
      <c r="C32" s="2" t="s">
        <v>26</v>
      </c>
      <c r="D32" s="2" t="s">
        <v>22</v>
      </c>
      <c r="E32" s="2" t="s">
        <v>40</v>
      </c>
      <c r="F32" s="2">
        <v>2</v>
      </c>
      <c r="G32" s="2">
        <v>3</v>
      </c>
      <c r="H32" s="2" t="s">
        <v>31</v>
      </c>
      <c r="I32" s="2">
        <v>3</v>
      </c>
      <c r="J32" s="2" t="s">
        <v>28</v>
      </c>
      <c r="K32" s="2">
        <v>3</v>
      </c>
      <c r="L32" s="2">
        <v>1</v>
      </c>
      <c r="M32" s="2" t="s">
        <v>50</v>
      </c>
      <c r="N32" s="2">
        <v>4</v>
      </c>
      <c r="O32" s="2" t="s">
        <v>25</v>
      </c>
      <c r="P32" t="s">
        <v>40</v>
      </c>
      <c r="Q32" s="2" t="s">
        <v>48</v>
      </c>
      <c r="R32" s="2"/>
      <c r="S32" s="14">
        <v>2496</v>
      </c>
      <c r="T32" s="2">
        <v>4</v>
      </c>
      <c r="U32" s="2" t="s">
        <v>26</v>
      </c>
      <c r="V32" s="2">
        <v>3</v>
      </c>
      <c r="W32" s="2">
        <v>7</v>
      </c>
      <c r="X32" s="2">
        <v>3</v>
      </c>
      <c r="Y32" s="2">
        <v>3</v>
      </c>
      <c r="Z32" s="2">
        <v>1</v>
      </c>
      <c r="AA32" s="2">
        <v>1</v>
      </c>
      <c r="AB32" s="2">
        <v>0</v>
      </c>
      <c r="AC32" s="2">
        <v>0</v>
      </c>
      <c r="AD32" s="2">
        <f>IF(Table1[[#This Row],[Salary]]&lt;10000,2,0)</f>
        <v>2</v>
      </c>
      <c r="AE32" s="2">
        <f>IF(AND(Table1[[#This Row],[Tenure]]&gt;=2,Table1[[#This Row],[Tenure]]&lt;=4),2,0)</f>
        <v>0</v>
      </c>
      <c r="AF32" s="2">
        <f>IF(Table1[[#This Row],[PerformanceRating]]&lt;=2,3,0)</f>
        <v>0</v>
      </c>
      <c r="AG32" s="2">
        <f>IF(Table1[[#This Row],[OverTime]]="Yes",2,0)</f>
        <v>0</v>
      </c>
      <c r="AH32" s="2">
        <f>Table1[[#This Row],[Risk_Salary]]+Table1[[#This Row],[Risk_Tenure]]+Table1[[#This Row],[Risk_Performance]]+Table1[[#This Row],[Risk_Overtime]]</f>
        <v>2</v>
      </c>
      <c r="AI32" s="2" t="str">
        <f>IF(Table1[[#This Row],[Total_Risk_Score]]&gt;=6,"High",IF(Table1[[#This Row],[Total_Risk_Score]]&gt;=3,"Medium","Low"))</f>
        <v>Low</v>
      </c>
    </row>
    <row r="33" spans="1:35" x14ac:dyDescent="0.35">
      <c r="A33" t="s">
        <v>89</v>
      </c>
      <c r="B33" s="2">
        <v>44</v>
      </c>
      <c r="C33" s="2" t="s">
        <v>26</v>
      </c>
      <c r="D33" s="2" t="s">
        <v>22</v>
      </c>
      <c r="E33" s="2" t="s">
        <v>40</v>
      </c>
      <c r="F33" s="2">
        <v>10</v>
      </c>
      <c r="G33" s="2">
        <v>4</v>
      </c>
      <c r="H33" s="2" t="s">
        <v>30</v>
      </c>
      <c r="I33" s="2">
        <v>4</v>
      </c>
      <c r="J33" s="2" t="s">
        <v>28</v>
      </c>
      <c r="K33" s="2">
        <v>3</v>
      </c>
      <c r="L33" s="2">
        <v>2</v>
      </c>
      <c r="M33" s="2" t="s">
        <v>53</v>
      </c>
      <c r="N33" s="2">
        <v>4</v>
      </c>
      <c r="O33" s="2" t="s">
        <v>29</v>
      </c>
      <c r="P33" t="s">
        <v>40</v>
      </c>
      <c r="Q33" s="2" t="s">
        <v>47</v>
      </c>
      <c r="R33" s="2"/>
      <c r="S33" s="14">
        <v>6465</v>
      </c>
      <c r="T33" s="2">
        <v>2</v>
      </c>
      <c r="U33" s="2" t="s">
        <v>21</v>
      </c>
      <c r="V33" s="2">
        <v>3</v>
      </c>
      <c r="W33" s="2">
        <v>9</v>
      </c>
      <c r="X33" s="2">
        <v>5</v>
      </c>
      <c r="Y33" s="2">
        <v>4</v>
      </c>
      <c r="Z33" s="2">
        <v>4</v>
      </c>
      <c r="AA33" s="2">
        <v>2</v>
      </c>
      <c r="AB33" s="2">
        <v>1</v>
      </c>
      <c r="AC33" s="2">
        <v>3</v>
      </c>
      <c r="AD33" s="2">
        <f>IF(Table1[[#This Row],[Salary]]&lt;10000,2,0)</f>
        <v>2</v>
      </c>
      <c r="AE33" s="2">
        <f>IF(AND(Table1[[#This Row],[Tenure]]&gt;=2,Table1[[#This Row],[Tenure]]&lt;=4),2,0)</f>
        <v>2</v>
      </c>
      <c r="AF33" s="2">
        <f>IF(Table1[[#This Row],[PerformanceRating]]&lt;=2,3,0)</f>
        <v>0</v>
      </c>
      <c r="AG33" s="2">
        <f>IF(Table1[[#This Row],[OverTime]]="Yes",2,0)</f>
        <v>2</v>
      </c>
      <c r="AH33" s="2">
        <f>Table1[[#This Row],[Risk_Salary]]+Table1[[#This Row],[Risk_Tenure]]+Table1[[#This Row],[Risk_Performance]]+Table1[[#This Row],[Risk_Overtime]]</f>
        <v>6</v>
      </c>
      <c r="AI33" s="2" t="str">
        <f>IF(Table1[[#This Row],[Total_Risk_Score]]&gt;=6,"High",IF(Table1[[#This Row],[Total_Risk_Score]]&gt;=3,"Medium","Low"))</f>
        <v>High</v>
      </c>
    </row>
    <row r="34" spans="1:35" x14ac:dyDescent="0.35">
      <c r="A34" t="s">
        <v>90</v>
      </c>
      <c r="B34" s="2">
        <v>30</v>
      </c>
      <c r="C34" s="2" t="s">
        <v>26</v>
      </c>
      <c r="D34" s="2" t="s">
        <v>22</v>
      </c>
      <c r="E34" s="2" t="s">
        <v>40</v>
      </c>
      <c r="F34" s="2">
        <v>9</v>
      </c>
      <c r="G34" s="2">
        <v>2</v>
      </c>
      <c r="H34" s="2" t="s">
        <v>31</v>
      </c>
      <c r="I34" s="2">
        <v>4</v>
      </c>
      <c r="J34" s="2" t="s">
        <v>28</v>
      </c>
      <c r="K34" s="2">
        <v>2</v>
      </c>
      <c r="L34" s="2">
        <v>1</v>
      </c>
      <c r="M34" s="2" t="s">
        <v>50</v>
      </c>
      <c r="N34" s="2">
        <v>3</v>
      </c>
      <c r="O34" s="2" t="s">
        <v>25</v>
      </c>
      <c r="P34" t="s">
        <v>39</v>
      </c>
      <c r="Q34" s="2" t="s">
        <v>47</v>
      </c>
      <c r="R34" s="2"/>
      <c r="S34" s="14">
        <v>2206</v>
      </c>
      <c r="T34" s="2">
        <v>1</v>
      </c>
      <c r="U34" s="2" t="s">
        <v>26</v>
      </c>
      <c r="V34" s="2">
        <v>3</v>
      </c>
      <c r="W34" s="2">
        <v>10</v>
      </c>
      <c r="X34" s="2">
        <v>5</v>
      </c>
      <c r="Y34" s="2">
        <v>3</v>
      </c>
      <c r="Z34" s="2">
        <v>10</v>
      </c>
      <c r="AA34" s="2">
        <v>0</v>
      </c>
      <c r="AB34" s="2">
        <v>1</v>
      </c>
      <c r="AC34" s="2">
        <v>8</v>
      </c>
      <c r="AD34" s="2">
        <f>IF(Table1[[#This Row],[Salary]]&lt;10000,2,0)</f>
        <v>2</v>
      </c>
      <c r="AE34" s="2">
        <f>IF(AND(Table1[[#This Row],[Tenure]]&gt;=2,Table1[[#This Row],[Tenure]]&lt;=4),2,0)</f>
        <v>0</v>
      </c>
      <c r="AF34" s="2">
        <f>IF(Table1[[#This Row],[PerformanceRating]]&lt;=2,3,0)</f>
        <v>0</v>
      </c>
      <c r="AG34" s="2">
        <f>IF(Table1[[#This Row],[OverTime]]="Yes",2,0)</f>
        <v>0</v>
      </c>
      <c r="AH34" s="2">
        <f>Table1[[#This Row],[Risk_Salary]]+Table1[[#This Row],[Risk_Tenure]]+Table1[[#This Row],[Risk_Performance]]+Table1[[#This Row],[Risk_Overtime]]</f>
        <v>2</v>
      </c>
      <c r="AI34" s="2" t="str">
        <f>IF(Table1[[#This Row],[Total_Risk_Score]]&gt;=6,"High",IF(Table1[[#This Row],[Total_Risk_Score]]&gt;=3,"Medium","Low"))</f>
        <v>Low</v>
      </c>
    </row>
    <row r="35" spans="1:35" x14ac:dyDescent="0.35">
      <c r="A35" t="s">
        <v>91</v>
      </c>
      <c r="B35" s="2">
        <v>39</v>
      </c>
      <c r="C35" s="2" t="s">
        <v>21</v>
      </c>
      <c r="D35" s="2" t="s">
        <v>22</v>
      </c>
      <c r="E35" s="2" t="s">
        <v>39</v>
      </c>
      <c r="F35" s="2">
        <v>5</v>
      </c>
      <c r="G35" s="2">
        <v>3</v>
      </c>
      <c r="H35" s="2" t="s">
        <v>35</v>
      </c>
      <c r="I35" s="2">
        <v>4</v>
      </c>
      <c r="J35" s="2" t="s">
        <v>28</v>
      </c>
      <c r="K35" s="2">
        <v>3</v>
      </c>
      <c r="L35" s="2">
        <v>2</v>
      </c>
      <c r="M35" s="2" t="s">
        <v>53</v>
      </c>
      <c r="N35" s="2">
        <v>4</v>
      </c>
      <c r="O35" s="2" t="s">
        <v>29</v>
      </c>
      <c r="P35" t="s">
        <v>49</v>
      </c>
      <c r="Q35" s="2" t="s">
        <v>48</v>
      </c>
      <c r="R35" s="2"/>
      <c r="S35" s="14">
        <v>2086</v>
      </c>
      <c r="T35" s="2">
        <v>3</v>
      </c>
      <c r="U35" s="2" t="s">
        <v>26</v>
      </c>
      <c r="V35" s="2">
        <v>3</v>
      </c>
      <c r="W35" s="2">
        <v>19</v>
      </c>
      <c r="X35" s="2">
        <v>6</v>
      </c>
      <c r="Y35" s="2">
        <v>4</v>
      </c>
      <c r="Z35" s="2">
        <v>1</v>
      </c>
      <c r="AA35" s="2">
        <v>0</v>
      </c>
      <c r="AB35" s="2">
        <v>0</v>
      </c>
      <c r="AC35" s="2">
        <v>0</v>
      </c>
      <c r="AD35" s="2">
        <f>IF(Table1[[#This Row],[Salary]]&lt;10000,2,0)</f>
        <v>2</v>
      </c>
      <c r="AE35" s="2">
        <f>IF(AND(Table1[[#This Row],[Tenure]]&gt;=2,Table1[[#This Row],[Tenure]]&lt;=4),2,0)</f>
        <v>0</v>
      </c>
      <c r="AF35" s="2">
        <f>IF(Table1[[#This Row],[PerformanceRating]]&lt;=2,3,0)</f>
        <v>0</v>
      </c>
      <c r="AG35" s="2">
        <f>IF(Table1[[#This Row],[OverTime]]="Yes",2,0)</f>
        <v>0</v>
      </c>
      <c r="AH35" s="2">
        <f>Table1[[#This Row],[Risk_Salary]]+Table1[[#This Row],[Risk_Tenure]]+Table1[[#This Row],[Risk_Performance]]+Table1[[#This Row],[Risk_Overtime]]</f>
        <v>2</v>
      </c>
      <c r="AI35" s="2" t="str">
        <f>IF(Table1[[#This Row],[Total_Risk_Score]]&gt;=6,"High",IF(Table1[[#This Row],[Total_Risk_Score]]&gt;=3,"Medium","Low"))</f>
        <v>Low</v>
      </c>
    </row>
    <row r="36" spans="1:35" x14ac:dyDescent="0.35">
      <c r="A36" t="s">
        <v>92</v>
      </c>
      <c r="B36" s="2">
        <v>24</v>
      </c>
      <c r="C36" s="2" t="s">
        <v>21</v>
      </c>
      <c r="D36" s="2" t="s">
        <v>22</v>
      </c>
      <c r="E36" s="2" t="s">
        <v>40</v>
      </c>
      <c r="F36" s="2">
        <v>1</v>
      </c>
      <c r="G36" s="2">
        <v>3</v>
      </c>
      <c r="H36" s="2" t="s">
        <v>31</v>
      </c>
      <c r="I36" s="2">
        <v>2</v>
      </c>
      <c r="J36" s="2" t="s">
        <v>28</v>
      </c>
      <c r="K36" s="2">
        <v>3</v>
      </c>
      <c r="L36" s="2">
        <v>1</v>
      </c>
      <c r="M36" s="2" t="s">
        <v>50</v>
      </c>
      <c r="N36" s="2">
        <v>4</v>
      </c>
      <c r="O36" s="2" t="s">
        <v>29</v>
      </c>
      <c r="P36" t="s">
        <v>49</v>
      </c>
      <c r="Q36" s="2" t="s">
        <v>45</v>
      </c>
      <c r="R36" s="2"/>
      <c r="S36" s="14">
        <v>2293</v>
      </c>
      <c r="T36" s="2">
        <v>2</v>
      </c>
      <c r="U36" s="2" t="s">
        <v>21</v>
      </c>
      <c r="V36" s="2">
        <v>3</v>
      </c>
      <c r="W36" s="2">
        <v>6</v>
      </c>
      <c r="X36" s="2">
        <v>2</v>
      </c>
      <c r="Y36" s="2">
        <v>2</v>
      </c>
      <c r="Z36" s="2">
        <v>2</v>
      </c>
      <c r="AA36" s="2">
        <v>0</v>
      </c>
      <c r="AB36" s="2">
        <v>2</v>
      </c>
      <c r="AC36" s="2">
        <v>0</v>
      </c>
      <c r="AD36" s="2">
        <f>IF(Table1[[#This Row],[Salary]]&lt;10000,2,0)</f>
        <v>2</v>
      </c>
      <c r="AE36" s="2">
        <f>IF(AND(Table1[[#This Row],[Tenure]]&gt;=2,Table1[[#This Row],[Tenure]]&lt;=4),2,0)</f>
        <v>2</v>
      </c>
      <c r="AF36" s="2">
        <f>IF(Table1[[#This Row],[PerformanceRating]]&lt;=2,3,0)</f>
        <v>0</v>
      </c>
      <c r="AG36" s="2">
        <f>IF(Table1[[#This Row],[OverTime]]="Yes",2,0)</f>
        <v>2</v>
      </c>
      <c r="AH36" s="2">
        <f>Table1[[#This Row],[Risk_Salary]]+Table1[[#This Row],[Risk_Tenure]]+Table1[[#This Row],[Risk_Performance]]+Table1[[#This Row],[Risk_Overtime]]</f>
        <v>6</v>
      </c>
      <c r="AI36" s="2" t="str">
        <f>IF(Table1[[#This Row],[Total_Risk_Score]]&gt;=6,"High",IF(Table1[[#This Row],[Total_Risk_Score]]&gt;=3,"Medium","Low"))</f>
        <v>High</v>
      </c>
    </row>
    <row r="37" spans="1:35" x14ac:dyDescent="0.35">
      <c r="A37" t="s">
        <v>93</v>
      </c>
      <c r="B37" s="2">
        <v>43</v>
      </c>
      <c r="C37" s="2" t="s">
        <v>26</v>
      </c>
      <c r="D37" s="2" t="s">
        <v>22</v>
      </c>
      <c r="E37" s="2" t="s">
        <v>40</v>
      </c>
      <c r="F37" s="2">
        <v>2</v>
      </c>
      <c r="G37" s="2">
        <v>2</v>
      </c>
      <c r="H37" s="2" t="s">
        <v>31</v>
      </c>
      <c r="I37" s="2">
        <v>4</v>
      </c>
      <c r="J37" s="2" t="s">
        <v>24</v>
      </c>
      <c r="K37" s="2">
        <v>4</v>
      </c>
      <c r="L37" s="2">
        <v>1</v>
      </c>
      <c r="M37" s="2" t="s">
        <v>50</v>
      </c>
      <c r="N37" s="2">
        <v>3</v>
      </c>
      <c r="O37" s="2" t="s">
        <v>32</v>
      </c>
      <c r="P37" t="s">
        <v>40</v>
      </c>
      <c r="Q37" s="2" t="s">
        <v>47</v>
      </c>
      <c r="R37" s="2"/>
      <c r="S37" s="14">
        <v>2645</v>
      </c>
      <c r="T37" s="2">
        <v>1</v>
      </c>
      <c r="U37" s="2" t="s">
        <v>26</v>
      </c>
      <c r="V37" s="2">
        <v>3</v>
      </c>
      <c r="W37" s="2">
        <v>6</v>
      </c>
      <c r="X37" s="2">
        <v>3</v>
      </c>
      <c r="Y37" s="2">
        <v>2</v>
      </c>
      <c r="Z37" s="2">
        <v>5</v>
      </c>
      <c r="AA37" s="2">
        <v>3</v>
      </c>
      <c r="AB37" s="2">
        <v>1</v>
      </c>
      <c r="AC37" s="2">
        <v>4</v>
      </c>
      <c r="AD37" s="2">
        <f>IF(Table1[[#This Row],[Salary]]&lt;10000,2,0)</f>
        <v>2</v>
      </c>
      <c r="AE37" s="2">
        <f>IF(AND(Table1[[#This Row],[Tenure]]&gt;=2,Table1[[#This Row],[Tenure]]&lt;=4),2,0)</f>
        <v>0</v>
      </c>
      <c r="AF37" s="2">
        <f>IF(Table1[[#This Row],[PerformanceRating]]&lt;=2,3,0)</f>
        <v>0</v>
      </c>
      <c r="AG37" s="2">
        <f>IF(Table1[[#This Row],[OverTime]]="Yes",2,0)</f>
        <v>0</v>
      </c>
      <c r="AH37" s="2">
        <f>Table1[[#This Row],[Risk_Salary]]+Table1[[#This Row],[Risk_Tenure]]+Table1[[#This Row],[Risk_Performance]]+Table1[[#This Row],[Risk_Overtime]]</f>
        <v>2</v>
      </c>
      <c r="AI37" s="2" t="str">
        <f>IF(Table1[[#This Row],[Total_Risk_Score]]&gt;=6,"High",IF(Table1[[#This Row],[Total_Risk_Score]]&gt;=3,"Medium","Low"))</f>
        <v>Low</v>
      </c>
    </row>
    <row r="38" spans="1:35" x14ac:dyDescent="0.35">
      <c r="A38" t="s">
        <v>94</v>
      </c>
      <c r="B38" s="2">
        <v>50</v>
      </c>
      <c r="C38" s="2" t="s">
        <v>21</v>
      </c>
      <c r="D38" s="2" t="s">
        <v>22</v>
      </c>
      <c r="E38" s="2" t="s">
        <v>39</v>
      </c>
      <c r="F38" s="2">
        <v>3</v>
      </c>
      <c r="G38" s="2">
        <v>2</v>
      </c>
      <c r="H38" s="2" t="s">
        <v>34</v>
      </c>
      <c r="I38" s="2">
        <v>1</v>
      </c>
      <c r="J38" s="2" t="s">
        <v>28</v>
      </c>
      <c r="K38" s="2">
        <v>2</v>
      </c>
      <c r="L38" s="2">
        <v>1</v>
      </c>
      <c r="M38" s="2" t="s">
        <v>53</v>
      </c>
      <c r="N38" s="2">
        <v>3</v>
      </c>
      <c r="O38" s="2" t="s">
        <v>29</v>
      </c>
      <c r="P38" t="s">
        <v>40</v>
      </c>
      <c r="Q38" s="2" t="s">
        <v>46</v>
      </c>
      <c r="R38" s="2"/>
      <c r="S38" s="14">
        <v>2683</v>
      </c>
      <c r="T38" s="2">
        <v>1</v>
      </c>
      <c r="U38" s="2" t="s">
        <v>21</v>
      </c>
      <c r="V38" s="2">
        <v>3</v>
      </c>
      <c r="W38" s="2">
        <v>3</v>
      </c>
      <c r="X38" s="2">
        <v>2</v>
      </c>
      <c r="Y38" s="2">
        <v>3</v>
      </c>
      <c r="Z38" s="2">
        <v>3</v>
      </c>
      <c r="AA38" s="2">
        <v>2</v>
      </c>
      <c r="AB38" s="2">
        <v>0</v>
      </c>
      <c r="AC38" s="2">
        <v>2</v>
      </c>
      <c r="AD38" s="2">
        <f>IF(Table1[[#This Row],[Salary]]&lt;10000,2,0)</f>
        <v>2</v>
      </c>
      <c r="AE38" s="2">
        <f>IF(AND(Table1[[#This Row],[Tenure]]&gt;=2,Table1[[#This Row],[Tenure]]&lt;=4),2,0)</f>
        <v>2</v>
      </c>
      <c r="AF38" s="2">
        <f>IF(Table1[[#This Row],[PerformanceRating]]&lt;=2,3,0)</f>
        <v>0</v>
      </c>
      <c r="AG38" s="2">
        <f>IF(Table1[[#This Row],[OverTime]]="Yes",2,0)</f>
        <v>2</v>
      </c>
      <c r="AH38" s="2">
        <f>Table1[[#This Row],[Risk_Salary]]+Table1[[#This Row],[Risk_Tenure]]+Table1[[#This Row],[Risk_Performance]]+Table1[[#This Row],[Risk_Overtime]]</f>
        <v>6</v>
      </c>
      <c r="AI38" s="2" t="str">
        <f>IF(Table1[[#This Row],[Total_Risk_Score]]&gt;=6,"High",IF(Table1[[#This Row],[Total_Risk_Score]]&gt;=3,"Medium","Low"))</f>
        <v>High</v>
      </c>
    </row>
    <row r="39" spans="1:35" x14ac:dyDescent="0.35">
      <c r="A39" t="s">
        <v>95</v>
      </c>
      <c r="B39" s="2">
        <v>35</v>
      </c>
      <c r="C39" s="2" t="s">
        <v>26</v>
      </c>
      <c r="D39" s="2" t="s">
        <v>22</v>
      </c>
      <c r="E39" s="2" t="s">
        <v>39</v>
      </c>
      <c r="F39" s="2">
        <v>2</v>
      </c>
      <c r="G39" s="2">
        <v>3</v>
      </c>
      <c r="H39" s="2" t="s">
        <v>34</v>
      </c>
      <c r="I39" s="2">
        <v>4</v>
      </c>
      <c r="J39" s="2" t="s">
        <v>24</v>
      </c>
      <c r="K39" s="2">
        <v>3</v>
      </c>
      <c r="L39" s="2">
        <v>1</v>
      </c>
      <c r="M39" s="2" t="s">
        <v>53</v>
      </c>
      <c r="N39" s="2">
        <v>4</v>
      </c>
      <c r="O39" s="2" t="s">
        <v>29</v>
      </c>
      <c r="P39" t="s">
        <v>49</v>
      </c>
      <c r="Q39" s="2" t="s">
        <v>45</v>
      </c>
      <c r="R39" s="2"/>
      <c r="S39" s="14">
        <v>2014</v>
      </c>
      <c r="T39" s="2">
        <v>1</v>
      </c>
      <c r="U39" s="2" t="s">
        <v>26</v>
      </c>
      <c r="V39" s="2">
        <v>3</v>
      </c>
      <c r="W39" s="2">
        <v>2</v>
      </c>
      <c r="X39" s="2">
        <v>3</v>
      </c>
      <c r="Y39" s="2">
        <v>3</v>
      </c>
      <c r="Z39" s="2">
        <v>2</v>
      </c>
      <c r="AA39" s="2">
        <v>2</v>
      </c>
      <c r="AB39" s="2">
        <v>2</v>
      </c>
      <c r="AC39" s="2">
        <v>2</v>
      </c>
      <c r="AD39" s="2">
        <f>IF(Table1[[#This Row],[Salary]]&lt;10000,2,0)</f>
        <v>2</v>
      </c>
      <c r="AE39" s="2">
        <f>IF(AND(Table1[[#This Row],[Tenure]]&gt;=2,Table1[[#This Row],[Tenure]]&lt;=4),2,0)</f>
        <v>2</v>
      </c>
      <c r="AF39" s="2">
        <f>IF(Table1[[#This Row],[PerformanceRating]]&lt;=2,3,0)</f>
        <v>0</v>
      </c>
      <c r="AG39" s="2">
        <f>IF(Table1[[#This Row],[OverTime]]="Yes",2,0)</f>
        <v>0</v>
      </c>
      <c r="AH39" s="2">
        <f>Table1[[#This Row],[Risk_Salary]]+Table1[[#This Row],[Risk_Tenure]]+Table1[[#This Row],[Risk_Performance]]+Table1[[#This Row],[Risk_Overtime]]</f>
        <v>4</v>
      </c>
      <c r="AI39" s="2" t="str">
        <f>IF(Table1[[#This Row],[Total_Risk_Score]]&gt;=6,"High",IF(Table1[[#This Row],[Total_Risk_Score]]&gt;=3,"Medium","Low"))</f>
        <v>Medium</v>
      </c>
    </row>
    <row r="40" spans="1:35" x14ac:dyDescent="0.35">
      <c r="A40" t="s">
        <v>96</v>
      </c>
      <c r="B40" s="2">
        <v>36</v>
      </c>
      <c r="C40" s="2" t="s">
        <v>26</v>
      </c>
      <c r="D40" s="2" t="s">
        <v>22</v>
      </c>
      <c r="E40" s="2" t="s">
        <v>40</v>
      </c>
      <c r="F40" s="2">
        <v>5</v>
      </c>
      <c r="G40" s="2">
        <v>4</v>
      </c>
      <c r="H40" s="2" t="s">
        <v>23</v>
      </c>
      <c r="I40" s="2">
        <v>2</v>
      </c>
      <c r="J40" s="2" t="s">
        <v>24</v>
      </c>
      <c r="K40" s="2">
        <v>2</v>
      </c>
      <c r="L40" s="2">
        <v>1</v>
      </c>
      <c r="M40" s="2" t="s">
        <v>50</v>
      </c>
      <c r="N40" s="2">
        <v>1</v>
      </c>
      <c r="O40" s="2" t="s">
        <v>29</v>
      </c>
      <c r="P40" t="s">
        <v>40</v>
      </c>
      <c r="Q40" s="2" t="s">
        <v>47</v>
      </c>
      <c r="R40" s="2"/>
      <c r="S40" s="14">
        <v>3419</v>
      </c>
      <c r="T40" s="2">
        <v>9</v>
      </c>
      <c r="U40" s="2" t="s">
        <v>21</v>
      </c>
      <c r="V40" s="2">
        <v>3</v>
      </c>
      <c r="W40" s="2">
        <v>6</v>
      </c>
      <c r="X40" s="2">
        <v>3</v>
      </c>
      <c r="Y40" s="2">
        <v>4</v>
      </c>
      <c r="Z40" s="2">
        <v>1</v>
      </c>
      <c r="AA40" s="2">
        <v>1</v>
      </c>
      <c r="AB40" s="2">
        <v>0</v>
      </c>
      <c r="AC40" s="2">
        <v>0</v>
      </c>
      <c r="AD40" s="2">
        <f>IF(Table1[[#This Row],[Salary]]&lt;10000,2,0)</f>
        <v>2</v>
      </c>
      <c r="AE40" s="2">
        <f>IF(AND(Table1[[#This Row],[Tenure]]&gt;=2,Table1[[#This Row],[Tenure]]&lt;=4),2,0)</f>
        <v>0</v>
      </c>
      <c r="AF40" s="2">
        <f>IF(Table1[[#This Row],[PerformanceRating]]&lt;=2,3,0)</f>
        <v>0</v>
      </c>
      <c r="AG40" s="2">
        <f>IF(Table1[[#This Row],[OverTime]]="Yes",2,0)</f>
        <v>2</v>
      </c>
      <c r="AH40" s="2">
        <f>Table1[[#This Row],[Risk_Salary]]+Table1[[#This Row],[Risk_Tenure]]+Table1[[#This Row],[Risk_Performance]]+Table1[[#This Row],[Risk_Overtime]]</f>
        <v>4</v>
      </c>
      <c r="AI40" s="2" t="str">
        <f>IF(Table1[[#This Row],[Total_Risk_Score]]&gt;=6,"High",IF(Table1[[#This Row],[Total_Risk_Score]]&gt;=3,"Medium","Low"))</f>
        <v>Medium</v>
      </c>
    </row>
    <row r="41" spans="1:35" x14ac:dyDescent="0.35">
      <c r="A41" t="s">
        <v>97</v>
      </c>
      <c r="B41" s="2">
        <v>33</v>
      </c>
      <c r="C41" s="2" t="s">
        <v>26</v>
      </c>
      <c r="D41" s="2" t="s">
        <v>27</v>
      </c>
      <c r="E41" s="2" t="s">
        <v>39</v>
      </c>
      <c r="F41" s="2">
        <v>1</v>
      </c>
      <c r="G41" s="2">
        <v>3</v>
      </c>
      <c r="H41" s="2" t="s">
        <v>23</v>
      </c>
      <c r="I41" s="2">
        <v>3</v>
      </c>
      <c r="J41" s="2" t="s">
        <v>24</v>
      </c>
      <c r="K41" s="2">
        <v>4</v>
      </c>
      <c r="L41" s="2">
        <v>2</v>
      </c>
      <c r="M41" s="2" t="s">
        <v>50</v>
      </c>
      <c r="N41" s="2">
        <v>1</v>
      </c>
      <c r="O41" s="2" t="s">
        <v>29</v>
      </c>
      <c r="P41" t="s">
        <v>40</v>
      </c>
      <c r="Q41" s="2" t="s">
        <v>46</v>
      </c>
      <c r="R41" s="2"/>
      <c r="S41" s="14">
        <v>5376</v>
      </c>
      <c r="T41" s="2">
        <v>2</v>
      </c>
      <c r="U41" s="2" t="s">
        <v>26</v>
      </c>
      <c r="V41" s="2">
        <v>3</v>
      </c>
      <c r="W41" s="2">
        <v>10</v>
      </c>
      <c r="X41" s="2">
        <v>3</v>
      </c>
      <c r="Y41" s="2">
        <v>3</v>
      </c>
      <c r="Z41" s="2">
        <v>5</v>
      </c>
      <c r="AA41" s="2">
        <v>3</v>
      </c>
      <c r="AB41" s="2">
        <v>1</v>
      </c>
      <c r="AC41" s="2">
        <v>3</v>
      </c>
      <c r="AD41" s="2">
        <f>IF(Table1[[#This Row],[Salary]]&lt;10000,2,0)</f>
        <v>2</v>
      </c>
      <c r="AE41" s="2">
        <f>IF(AND(Table1[[#This Row],[Tenure]]&gt;=2,Table1[[#This Row],[Tenure]]&lt;=4),2,0)</f>
        <v>0</v>
      </c>
      <c r="AF41" s="2">
        <f>IF(Table1[[#This Row],[PerformanceRating]]&lt;=2,3,0)</f>
        <v>0</v>
      </c>
      <c r="AG41" s="2">
        <f>IF(Table1[[#This Row],[OverTime]]="Yes",2,0)</f>
        <v>0</v>
      </c>
      <c r="AH41" s="2">
        <f>Table1[[#This Row],[Risk_Salary]]+Table1[[#This Row],[Risk_Tenure]]+Table1[[#This Row],[Risk_Performance]]+Table1[[#This Row],[Risk_Overtime]]</f>
        <v>2</v>
      </c>
      <c r="AI41" s="2" t="str">
        <f>IF(Table1[[#This Row],[Total_Risk_Score]]&gt;=6,"High",IF(Table1[[#This Row],[Total_Risk_Score]]&gt;=3,"Medium","Low"))</f>
        <v>Low</v>
      </c>
    </row>
    <row r="42" spans="1:35" x14ac:dyDescent="0.35">
      <c r="A42" t="s">
        <v>98</v>
      </c>
      <c r="B42" s="2">
        <v>35</v>
      </c>
      <c r="C42" s="2" t="s">
        <v>26</v>
      </c>
      <c r="D42" s="2" t="s">
        <v>22</v>
      </c>
      <c r="E42" s="2" t="s">
        <v>40</v>
      </c>
      <c r="F42" s="2">
        <v>4</v>
      </c>
      <c r="G42" s="2">
        <v>2</v>
      </c>
      <c r="H42" s="2" t="s">
        <v>30</v>
      </c>
      <c r="I42" s="2">
        <v>3</v>
      </c>
      <c r="J42" s="2" t="s">
        <v>28</v>
      </c>
      <c r="K42" s="2">
        <v>3</v>
      </c>
      <c r="L42" s="2">
        <v>1</v>
      </c>
      <c r="M42" s="2" t="s">
        <v>50</v>
      </c>
      <c r="N42" s="2">
        <v>4</v>
      </c>
      <c r="O42" s="2" t="s">
        <v>32</v>
      </c>
      <c r="P42" t="s">
        <v>39</v>
      </c>
      <c r="Q42" s="2" t="s">
        <v>48</v>
      </c>
      <c r="R42" s="2"/>
      <c r="S42" s="14">
        <v>1951</v>
      </c>
      <c r="T42" s="2">
        <v>1</v>
      </c>
      <c r="U42" s="2" t="s">
        <v>26</v>
      </c>
      <c r="V42" s="2">
        <v>3</v>
      </c>
      <c r="W42" s="2">
        <v>1</v>
      </c>
      <c r="X42" s="2">
        <v>3</v>
      </c>
      <c r="Y42" s="2">
        <v>3</v>
      </c>
      <c r="Z42" s="2">
        <v>1</v>
      </c>
      <c r="AA42" s="2">
        <v>0</v>
      </c>
      <c r="AB42" s="2">
        <v>0</v>
      </c>
      <c r="AC42" s="2">
        <v>0</v>
      </c>
      <c r="AD42" s="2">
        <f>IF(Table1[[#This Row],[Salary]]&lt;10000,2,0)</f>
        <v>2</v>
      </c>
      <c r="AE42" s="2">
        <f>IF(AND(Table1[[#This Row],[Tenure]]&gt;=2,Table1[[#This Row],[Tenure]]&lt;=4),2,0)</f>
        <v>0</v>
      </c>
      <c r="AF42" s="2">
        <f>IF(Table1[[#This Row],[PerformanceRating]]&lt;=2,3,0)</f>
        <v>0</v>
      </c>
      <c r="AG42" s="2">
        <f>IF(Table1[[#This Row],[OverTime]]="Yes",2,0)</f>
        <v>0</v>
      </c>
      <c r="AH42" s="2">
        <f>Table1[[#This Row],[Risk_Salary]]+Table1[[#This Row],[Risk_Tenure]]+Table1[[#This Row],[Risk_Performance]]+Table1[[#This Row],[Risk_Overtime]]</f>
        <v>2</v>
      </c>
      <c r="AI42" s="2" t="str">
        <f>IF(Table1[[#This Row],[Total_Risk_Score]]&gt;=6,"High",IF(Table1[[#This Row],[Total_Risk_Score]]&gt;=3,"Medium","Low"))</f>
        <v>Low</v>
      </c>
    </row>
    <row r="43" spans="1:35" x14ac:dyDescent="0.35">
      <c r="A43" t="s">
        <v>99</v>
      </c>
      <c r="B43" s="2">
        <v>27</v>
      </c>
      <c r="C43" s="2" t="s">
        <v>26</v>
      </c>
      <c r="D43" s="2" t="s">
        <v>22</v>
      </c>
      <c r="E43" s="2" t="s">
        <v>40</v>
      </c>
      <c r="F43" s="2">
        <v>2</v>
      </c>
      <c r="G43" s="2">
        <v>4</v>
      </c>
      <c r="H43" s="2" t="s">
        <v>23</v>
      </c>
      <c r="I43" s="2">
        <v>4</v>
      </c>
      <c r="J43" s="2" t="s">
        <v>24</v>
      </c>
      <c r="K43" s="2">
        <v>3</v>
      </c>
      <c r="L43" s="2">
        <v>1</v>
      </c>
      <c r="M43" s="2" t="s">
        <v>50</v>
      </c>
      <c r="N43" s="2">
        <v>1</v>
      </c>
      <c r="O43" s="2" t="s">
        <v>32</v>
      </c>
      <c r="P43" t="s">
        <v>49</v>
      </c>
      <c r="Q43" s="2" t="s">
        <v>47</v>
      </c>
      <c r="R43" s="2"/>
      <c r="S43" s="14">
        <v>2341</v>
      </c>
      <c r="T43" s="2">
        <v>1</v>
      </c>
      <c r="U43" s="2" t="s">
        <v>26</v>
      </c>
      <c r="V43" s="2">
        <v>3</v>
      </c>
      <c r="W43" s="2">
        <v>1</v>
      </c>
      <c r="X43" s="2">
        <v>6</v>
      </c>
      <c r="Y43" s="2">
        <v>3</v>
      </c>
      <c r="Z43" s="2">
        <v>1</v>
      </c>
      <c r="AA43" s="2">
        <v>0</v>
      </c>
      <c r="AB43" s="2">
        <v>0</v>
      </c>
      <c r="AC43" s="2">
        <v>0</v>
      </c>
      <c r="AD43" s="2">
        <f>IF(Table1[[#This Row],[Salary]]&lt;10000,2,0)</f>
        <v>2</v>
      </c>
      <c r="AE43" s="2">
        <f>IF(AND(Table1[[#This Row],[Tenure]]&gt;=2,Table1[[#This Row],[Tenure]]&lt;=4),2,0)</f>
        <v>0</v>
      </c>
      <c r="AF43" s="2">
        <f>IF(Table1[[#This Row],[PerformanceRating]]&lt;=2,3,0)</f>
        <v>0</v>
      </c>
      <c r="AG43" s="2">
        <f>IF(Table1[[#This Row],[OverTime]]="Yes",2,0)</f>
        <v>0</v>
      </c>
      <c r="AH43" s="2">
        <f>Table1[[#This Row],[Risk_Salary]]+Table1[[#This Row],[Risk_Tenure]]+Table1[[#This Row],[Risk_Performance]]+Table1[[#This Row],[Risk_Overtime]]</f>
        <v>2</v>
      </c>
      <c r="AI43" s="2" t="str">
        <f>IF(Table1[[#This Row],[Total_Risk_Score]]&gt;=6,"High",IF(Table1[[#This Row],[Total_Risk_Score]]&gt;=3,"Medium","Low"))</f>
        <v>Low</v>
      </c>
    </row>
    <row r="44" spans="1:35" x14ac:dyDescent="0.35">
      <c r="A44" t="s">
        <v>100</v>
      </c>
      <c r="B44" s="2">
        <v>26</v>
      </c>
      <c r="C44" s="2" t="s">
        <v>21</v>
      </c>
      <c r="D44" s="2" t="s">
        <v>22</v>
      </c>
      <c r="E44" s="2" t="s">
        <v>40</v>
      </c>
      <c r="F44" s="2">
        <v>25</v>
      </c>
      <c r="G44" s="2">
        <v>3</v>
      </c>
      <c r="H44" s="2" t="s">
        <v>23</v>
      </c>
      <c r="I44" s="2">
        <v>1</v>
      </c>
      <c r="J44" s="2" t="s">
        <v>28</v>
      </c>
      <c r="K44" s="2">
        <v>1</v>
      </c>
      <c r="L44" s="2">
        <v>1</v>
      </c>
      <c r="M44" s="2" t="s">
        <v>50</v>
      </c>
      <c r="N44" s="2">
        <v>3</v>
      </c>
      <c r="O44" s="2" t="s">
        <v>25</v>
      </c>
      <c r="P44" t="s">
        <v>49</v>
      </c>
      <c r="Q44" s="2" t="s">
        <v>47</v>
      </c>
      <c r="R44" s="2"/>
      <c r="S44" s="14">
        <v>2293</v>
      </c>
      <c r="T44" s="2">
        <v>1</v>
      </c>
      <c r="U44" s="2" t="s">
        <v>26</v>
      </c>
      <c r="V44" s="2">
        <v>3</v>
      </c>
      <c r="W44" s="2">
        <v>1</v>
      </c>
      <c r="X44" s="2">
        <v>2</v>
      </c>
      <c r="Y44" s="2">
        <v>2</v>
      </c>
      <c r="Z44" s="2">
        <v>1</v>
      </c>
      <c r="AA44" s="2">
        <v>0</v>
      </c>
      <c r="AB44" s="2">
        <v>0</v>
      </c>
      <c r="AC44" s="2">
        <v>1</v>
      </c>
      <c r="AD44" s="2">
        <f>IF(Table1[[#This Row],[Salary]]&lt;10000,2,0)</f>
        <v>2</v>
      </c>
      <c r="AE44" s="2">
        <f>IF(AND(Table1[[#This Row],[Tenure]]&gt;=2,Table1[[#This Row],[Tenure]]&lt;=4),2,0)</f>
        <v>0</v>
      </c>
      <c r="AF44" s="2">
        <f>IF(Table1[[#This Row],[PerformanceRating]]&lt;=2,3,0)</f>
        <v>0</v>
      </c>
      <c r="AG44" s="2">
        <f>IF(Table1[[#This Row],[OverTime]]="Yes",2,0)</f>
        <v>0</v>
      </c>
      <c r="AH44" s="2">
        <f>Table1[[#This Row],[Risk_Salary]]+Table1[[#This Row],[Risk_Tenure]]+Table1[[#This Row],[Risk_Performance]]+Table1[[#This Row],[Risk_Overtime]]</f>
        <v>2</v>
      </c>
      <c r="AI44" s="2" t="str">
        <f>IF(Table1[[#This Row],[Total_Risk_Score]]&gt;=6,"High",IF(Table1[[#This Row],[Total_Risk_Score]]&gt;=3,"Medium","Low"))</f>
        <v>Low</v>
      </c>
    </row>
    <row r="45" spans="1:35" x14ac:dyDescent="0.35">
      <c r="A45" t="s">
        <v>101</v>
      </c>
      <c r="B45" s="2">
        <v>27</v>
      </c>
      <c r="C45" s="2" t="s">
        <v>26</v>
      </c>
      <c r="D45" s="2" t="s">
        <v>27</v>
      </c>
      <c r="E45" s="2" t="s">
        <v>39</v>
      </c>
      <c r="F45" s="2">
        <v>8</v>
      </c>
      <c r="G45" s="2">
        <v>3</v>
      </c>
      <c r="H45" s="2" t="s">
        <v>23</v>
      </c>
      <c r="I45" s="2">
        <v>4</v>
      </c>
      <c r="J45" s="2" t="s">
        <v>28</v>
      </c>
      <c r="K45" s="2">
        <v>3</v>
      </c>
      <c r="L45" s="2">
        <v>3</v>
      </c>
      <c r="M45" s="2" t="s">
        <v>50</v>
      </c>
      <c r="N45" s="2">
        <v>3</v>
      </c>
      <c r="O45" s="2" t="s">
        <v>25</v>
      </c>
      <c r="P45" t="s">
        <v>40</v>
      </c>
      <c r="Q45" s="2" t="s">
        <v>48</v>
      </c>
      <c r="R45" s="2"/>
      <c r="S45" s="14">
        <v>8726</v>
      </c>
      <c r="T45" s="2">
        <v>1</v>
      </c>
      <c r="U45" s="2" t="s">
        <v>26</v>
      </c>
      <c r="V45" s="2">
        <v>3</v>
      </c>
      <c r="W45" s="2">
        <v>9</v>
      </c>
      <c r="X45" s="2">
        <v>0</v>
      </c>
      <c r="Y45" s="2">
        <v>3</v>
      </c>
      <c r="Z45" s="2">
        <v>9</v>
      </c>
      <c r="AA45" s="2">
        <v>8</v>
      </c>
      <c r="AB45" s="2">
        <v>1</v>
      </c>
      <c r="AC45" s="2">
        <v>7</v>
      </c>
      <c r="AD45" s="2">
        <f>IF(Table1[[#This Row],[Salary]]&lt;10000,2,0)</f>
        <v>2</v>
      </c>
      <c r="AE45" s="2">
        <f>IF(AND(Table1[[#This Row],[Tenure]]&gt;=2,Table1[[#This Row],[Tenure]]&lt;=4),2,0)</f>
        <v>0</v>
      </c>
      <c r="AF45" s="2">
        <f>IF(Table1[[#This Row],[PerformanceRating]]&lt;=2,3,0)</f>
        <v>0</v>
      </c>
      <c r="AG45" s="2">
        <f>IF(Table1[[#This Row],[OverTime]]="Yes",2,0)</f>
        <v>0</v>
      </c>
      <c r="AH45" s="2">
        <f>Table1[[#This Row],[Risk_Salary]]+Table1[[#This Row],[Risk_Tenure]]+Table1[[#This Row],[Risk_Performance]]+Table1[[#This Row],[Risk_Overtime]]</f>
        <v>2</v>
      </c>
      <c r="AI45" s="2" t="str">
        <f>IF(Table1[[#This Row],[Total_Risk_Score]]&gt;=6,"High",IF(Table1[[#This Row],[Total_Risk_Score]]&gt;=3,"Medium","Low"))</f>
        <v>Low</v>
      </c>
    </row>
    <row r="46" spans="1:35" x14ac:dyDescent="0.35">
      <c r="A46" t="s">
        <v>102</v>
      </c>
      <c r="B46" s="2">
        <v>30</v>
      </c>
      <c r="C46" s="2" t="s">
        <v>26</v>
      </c>
      <c r="D46" s="2" t="s">
        <v>27</v>
      </c>
      <c r="E46" s="2" t="s">
        <v>40</v>
      </c>
      <c r="F46" s="2">
        <v>1</v>
      </c>
      <c r="G46" s="2">
        <v>2</v>
      </c>
      <c r="H46" s="2" t="s">
        <v>31</v>
      </c>
      <c r="I46" s="2">
        <v>3</v>
      </c>
      <c r="J46" s="2" t="s">
        <v>24</v>
      </c>
      <c r="K46" s="2">
        <v>3</v>
      </c>
      <c r="L46" s="2">
        <v>2</v>
      </c>
      <c r="M46" s="2" t="s">
        <v>50</v>
      </c>
      <c r="N46" s="2">
        <v>4</v>
      </c>
      <c r="O46" s="2" t="s">
        <v>25</v>
      </c>
      <c r="P46" t="s">
        <v>40</v>
      </c>
      <c r="Q46" s="2" t="s">
        <v>45</v>
      </c>
      <c r="R46" s="2"/>
      <c r="S46" s="14">
        <v>4011</v>
      </c>
      <c r="T46" s="2">
        <v>1</v>
      </c>
      <c r="U46" s="2" t="s">
        <v>26</v>
      </c>
      <c r="V46" s="2">
        <v>4</v>
      </c>
      <c r="W46" s="2">
        <v>12</v>
      </c>
      <c r="X46" s="2">
        <v>2</v>
      </c>
      <c r="Y46" s="2">
        <v>3</v>
      </c>
      <c r="Z46" s="2">
        <v>12</v>
      </c>
      <c r="AA46" s="2">
        <v>8</v>
      </c>
      <c r="AB46" s="2">
        <v>3</v>
      </c>
      <c r="AC46" s="2">
        <v>7</v>
      </c>
      <c r="AD46" s="2">
        <f>IF(Table1[[#This Row],[Salary]]&lt;10000,2,0)</f>
        <v>2</v>
      </c>
      <c r="AE46" s="2">
        <f>IF(AND(Table1[[#This Row],[Tenure]]&gt;=2,Table1[[#This Row],[Tenure]]&lt;=4),2,0)</f>
        <v>0</v>
      </c>
      <c r="AF46" s="2">
        <f>IF(Table1[[#This Row],[PerformanceRating]]&lt;=2,3,0)</f>
        <v>0</v>
      </c>
      <c r="AG46" s="2">
        <f>IF(Table1[[#This Row],[OverTime]]="Yes",2,0)</f>
        <v>0</v>
      </c>
      <c r="AH46" s="2">
        <f>Table1[[#This Row],[Risk_Salary]]+Table1[[#This Row],[Risk_Tenure]]+Table1[[#This Row],[Risk_Performance]]+Table1[[#This Row],[Risk_Overtime]]</f>
        <v>2</v>
      </c>
      <c r="AI46" s="2" t="str">
        <f>IF(Table1[[#This Row],[Total_Risk_Score]]&gt;=6,"High",IF(Table1[[#This Row],[Total_Risk_Score]]&gt;=3,"Medium","Low"))</f>
        <v>Low</v>
      </c>
    </row>
    <row r="47" spans="1:35" x14ac:dyDescent="0.35">
      <c r="A47" t="s">
        <v>103</v>
      </c>
      <c r="B47" s="2">
        <v>41</v>
      </c>
      <c r="C47" s="2" t="s">
        <v>21</v>
      </c>
      <c r="D47" s="2" t="s">
        <v>22</v>
      </c>
      <c r="E47" s="2" t="s">
        <v>40</v>
      </c>
      <c r="F47" s="2">
        <v>12</v>
      </c>
      <c r="G47" s="2">
        <v>3</v>
      </c>
      <c r="H47" s="2" t="s">
        <v>35</v>
      </c>
      <c r="I47" s="2">
        <v>2</v>
      </c>
      <c r="J47" s="2" t="s">
        <v>24</v>
      </c>
      <c r="K47" s="2">
        <v>3</v>
      </c>
      <c r="L47" s="2">
        <v>5</v>
      </c>
      <c r="M47" s="2" t="s">
        <v>53</v>
      </c>
      <c r="N47" s="2">
        <v>3</v>
      </c>
      <c r="O47" s="2" t="s">
        <v>29</v>
      </c>
      <c r="P47" t="s">
        <v>39</v>
      </c>
      <c r="Q47" s="2" t="s">
        <v>47</v>
      </c>
      <c r="R47" s="2"/>
      <c r="S47" s="14">
        <v>19545</v>
      </c>
      <c r="T47" s="2">
        <v>1</v>
      </c>
      <c r="U47" s="2" t="s">
        <v>26</v>
      </c>
      <c r="V47" s="2">
        <v>3</v>
      </c>
      <c r="W47" s="2">
        <v>23</v>
      </c>
      <c r="X47" s="2">
        <v>0</v>
      </c>
      <c r="Y47" s="2">
        <v>3</v>
      </c>
      <c r="Z47" s="2">
        <v>22</v>
      </c>
      <c r="AA47" s="2">
        <v>15</v>
      </c>
      <c r="AB47" s="2">
        <v>15</v>
      </c>
      <c r="AC47" s="2">
        <v>8</v>
      </c>
      <c r="AD47" s="2">
        <f>IF(Table1[[#This Row],[Salary]]&lt;10000,2,0)</f>
        <v>0</v>
      </c>
      <c r="AE47" s="2">
        <f>IF(AND(Table1[[#This Row],[Tenure]]&gt;=2,Table1[[#This Row],[Tenure]]&lt;=4),2,0)</f>
        <v>0</v>
      </c>
      <c r="AF47" s="2">
        <f>IF(Table1[[#This Row],[PerformanceRating]]&lt;=2,3,0)</f>
        <v>0</v>
      </c>
      <c r="AG47" s="2">
        <f>IF(Table1[[#This Row],[OverTime]]="Yes",2,0)</f>
        <v>0</v>
      </c>
      <c r="AH47" s="2">
        <f>Table1[[#This Row],[Risk_Salary]]+Table1[[#This Row],[Risk_Tenure]]+Table1[[#This Row],[Risk_Performance]]+Table1[[#This Row],[Risk_Overtime]]</f>
        <v>0</v>
      </c>
      <c r="AI47" s="2" t="str">
        <f>IF(Table1[[#This Row],[Total_Risk_Score]]&gt;=6,"High",IF(Table1[[#This Row],[Total_Risk_Score]]&gt;=3,"Medium","Low"))</f>
        <v>Low</v>
      </c>
    </row>
    <row r="48" spans="1:35" x14ac:dyDescent="0.35">
      <c r="A48" t="s">
        <v>104</v>
      </c>
      <c r="B48" s="2">
        <v>34</v>
      </c>
      <c r="C48" s="2" t="s">
        <v>26</v>
      </c>
      <c r="D48" s="2" t="s">
        <v>33</v>
      </c>
      <c r="E48" s="2" t="s">
        <v>39</v>
      </c>
      <c r="F48" s="2">
        <v>23</v>
      </c>
      <c r="G48" s="2">
        <v>4</v>
      </c>
      <c r="H48" s="2" t="s">
        <v>34</v>
      </c>
      <c r="I48" s="2">
        <v>2</v>
      </c>
      <c r="J48" s="2" t="s">
        <v>28</v>
      </c>
      <c r="K48" s="2">
        <v>3</v>
      </c>
      <c r="L48" s="2">
        <v>2</v>
      </c>
      <c r="M48" s="2" t="s">
        <v>50</v>
      </c>
      <c r="N48" s="2">
        <v>3</v>
      </c>
      <c r="O48" s="2" t="s">
        <v>25</v>
      </c>
      <c r="P48" t="s">
        <v>39</v>
      </c>
      <c r="Q48" s="2" t="s">
        <v>46</v>
      </c>
      <c r="R48" s="2"/>
      <c r="S48" s="14">
        <v>4568</v>
      </c>
      <c r="T48" s="2">
        <v>0</v>
      </c>
      <c r="U48" s="2" t="s">
        <v>26</v>
      </c>
      <c r="V48" s="2">
        <v>4</v>
      </c>
      <c r="W48" s="2">
        <v>10</v>
      </c>
      <c r="X48" s="2">
        <v>2</v>
      </c>
      <c r="Y48" s="2">
        <v>3</v>
      </c>
      <c r="Z48" s="2">
        <v>9</v>
      </c>
      <c r="AA48" s="2">
        <v>5</v>
      </c>
      <c r="AB48" s="2">
        <v>8</v>
      </c>
      <c r="AC48" s="2">
        <v>7</v>
      </c>
      <c r="AD48" s="2">
        <f>IF(Table1[[#This Row],[Salary]]&lt;10000,2,0)</f>
        <v>2</v>
      </c>
      <c r="AE48" s="2">
        <f>IF(AND(Table1[[#This Row],[Tenure]]&gt;=2,Table1[[#This Row],[Tenure]]&lt;=4),2,0)</f>
        <v>0</v>
      </c>
      <c r="AF48" s="2">
        <f>IF(Table1[[#This Row],[PerformanceRating]]&lt;=2,3,0)</f>
        <v>0</v>
      </c>
      <c r="AG48" s="2">
        <f>IF(Table1[[#This Row],[OverTime]]="Yes",2,0)</f>
        <v>0</v>
      </c>
      <c r="AH48" s="2">
        <f>Table1[[#This Row],[Risk_Salary]]+Table1[[#This Row],[Risk_Tenure]]+Table1[[#This Row],[Risk_Performance]]+Table1[[#This Row],[Risk_Overtime]]</f>
        <v>2</v>
      </c>
      <c r="AI48" s="2" t="str">
        <f>IF(Table1[[#This Row],[Total_Risk_Score]]&gt;=6,"High",IF(Table1[[#This Row],[Total_Risk_Score]]&gt;=3,"Medium","Low"))</f>
        <v>Low</v>
      </c>
    </row>
    <row r="49" spans="1:35" x14ac:dyDescent="0.35">
      <c r="A49" t="s">
        <v>105</v>
      </c>
      <c r="B49" s="2">
        <v>37</v>
      </c>
      <c r="C49" s="2" t="s">
        <v>26</v>
      </c>
      <c r="D49" s="2" t="s">
        <v>22</v>
      </c>
      <c r="E49" s="2" t="s">
        <v>40</v>
      </c>
      <c r="F49" s="2">
        <v>19</v>
      </c>
      <c r="G49" s="2">
        <v>2</v>
      </c>
      <c r="H49" s="2" t="s">
        <v>23</v>
      </c>
      <c r="I49" s="2">
        <v>2</v>
      </c>
      <c r="J49" s="2" t="s">
        <v>28</v>
      </c>
      <c r="K49" s="2">
        <v>3</v>
      </c>
      <c r="L49" s="2">
        <v>1</v>
      </c>
      <c r="M49" s="2" t="s">
        <v>50</v>
      </c>
      <c r="N49" s="2">
        <v>2</v>
      </c>
      <c r="O49" s="2" t="s">
        <v>29</v>
      </c>
      <c r="P49" t="s">
        <v>40</v>
      </c>
      <c r="Q49" s="2" t="s">
        <v>48</v>
      </c>
      <c r="R49" s="2"/>
      <c r="S49" s="14">
        <v>3022</v>
      </c>
      <c r="T49" s="2">
        <v>4</v>
      </c>
      <c r="U49" s="2" t="s">
        <v>26</v>
      </c>
      <c r="V49" s="2">
        <v>4</v>
      </c>
      <c r="W49" s="2">
        <v>8</v>
      </c>
      <c r="X49" s="2">
        <v>1</v>
      </c>
      <c r="Y49" s="2">
        <v>3</v>
      </c>
      <c r="Z49" s="2">
        <v>1</v>
      </c>
      <c r="AA49" s="2">
        <v>0</v>
      </c>
      <c r="AB49" s="2">
        <v>0</v>
      </c>
      <c r="AC49" s="2">
        <v>0</v>
      </c>
      <c r="AD49" s="2">
        <f>IF(Table1[[#This Row],[Salary]]&lt;10000,2,0)</f>
        <v>2</v>
      </c>
      <c r="AE49" s="2">
        <f>IF(AND(Table1[[#This Row],[Tenure]]&gt;=2,Table1[[#This Row],[Tenure]]&lt;=4),2,0)</f>
        <v>0</v>
      </c>
      <c r="AF49" s="2">
        <f>IF(Table1[[#This Row],[PerformanceRating]]&lt;=2,3,0)</f>
        <v>0</v>
      </c>
      <c r="AG49" s="2">
        <f>IF(Table1[[#This Row],[OverTime]]="Yes",2,0)</f>
        <v>0</v>
      </c>
      <c r="AH49" s="2">
        <f>Table1[[#This Row],[Risk_Salary]]+Table1[[#This Row],[Risk_Tenure]]+Table1[[#This Row],[Risk_Performance]]+Table1[[#This Row],[Risk_Overtime]]</f>
        <v>2</v>
      </c>
      <c r="AI49" s="2" t="str">
        <f>IF(Table1[[#This Row],[Total_Risk_Score]]&gt;=6,"High",IF(Table1[[#This Row],[Total_Risk_Score]]&gt;=3,"Medium","Low"))</f>
        <v>Low</v>
      </c>
    </row>
    <row r="50" spans="1:35" x14ac:dyDescent="0.35">
      <c r="A50" t="s">
        <v>106</v>
      </c>
      <c r="B50" s="2">
        <v>46</v>
      </c>
      <c r="C50" s="2" t="s">
        <v>26</v>
      </c>
      <c r="D50" s="2" t="s">
        <v>27</v>
      </c>
      <c r="E50" s="2" t="s">
        <v>39</v>
      </c>
      <c r="F50" s="2">
        <v>5</v>
      </c>
      <c r="G50" s="2">
        <v>4</v>
      </c>
      <c r="H50" s="2" t="s">
        <v>34</v>
      </c>
      <c r="I50" s="2">
        <v>1</v>
      </c>
      <c r="J50" s="2" t="s">
        <v>28</v>
      </c>
      <c r="K50" s="2">
        <v>3</v>
      </c>
      <c r="L50" s="2">
        <v>2</v>
      </c>
      <c r="M50" s="2" t="s">
        <v>50</v>
      </c>
      <c r="N50" s="2">
        <v>4</v>
      </c>
      <c r="O50" s="2" t="s">
        <v>25</v>
      </c>
      <c r="P50" t="s">
        <v>49</v>
      </c>
      <c r="Q50" s="2" t="s">
        <v>47</v>
      </c>
      <c r="R50" s="2"/>
      <c r="S50" s="14">
        <v>5772</v>
      </c>
      <c r="T50" s="2">
        <v>4</v>
      </c>
      <c r="U50" s="2" t="s">
        <v>21</v>
      </c>
      <c r="V50" s="2">
        <v>4</v>
      </c>
      <c r="W50" s="2">
        <v>14</v>
      </c>
      <c r="X50" s="2">
        <v>4</v>
      </c>
      <c r="Y50" s="2">
        <v>3</v>
      </c>
      <c r="Z50" s="2">
        <v>9</v>
      </c>
      <c r="AA50" s="2">
        <v>6</v>
      </c>
      <c r="AB50" s="2">
        <v>0</v>
      </c>
      <c r="AC50" s="2">
        <v>8</v>
      </c>
      <c r="AD50" s="2">
        <f>IF(Table1[[#This Row],[Salary]]&lt;10000,2,0)</f>
        <v>2</v>
      </c>
      <c r="AE50" s="2">
        <f>IF(AND(Table1[[#This Row],[Tenure]]&gt;=2,Table1[[#This Row],[Tenure]]&lt;=4),2,0)</f>
        <v>0</v>
      </c>
      <c r="AF50" s="2">
        <f>IF(Table1[[#This Row],[PerformanceRating]]&lt;=2,3,0)</f>
        <v>0</v>
      </c>
      <c r="AG50" s="2">
        <f>IF(Table1[[#This Row],[OverTime]]="Yes",2,0)</f>
        <v>2</v>
      </c>
      <c r="AH50" s="2">
        <f>Table1[[#This Row],[Risk_Salary]]+Table1[[#This Row],[Risk_Tenure]]+Table1[[#This Row],[Risk_Performance]]+Table1[[#This Row],[Risk_Overtime]]</f>
        <v>4</v>
      </c>
      <c r="AI50" s="2" t="str">
        <f>IF(Table1[[#This Row],[Total_Risk_Score]]&gt;=6,"High",IF(Table1[[#This Row],[Total_Risk_Score]]&gt;=3,"Medium","Low"))</f>
        <v>Medium</v>
      </c>
    </row>
    <row r="51" spans="1:35" x14ac:dyDescent="0.35">
      <c r="A51" t="s">
        <v>107</v>
      </c>
      <c r="B51" s="2">
        <v>35</v>
      </c>
      <c r="C51" s="2" t="s">
        <v>26</v>
      </c>
      <c r="D51" s="2" t="s">
        <v>22</v>
      </c>
      <c r="E51" s="2" t="s">
        <v>40</v>
      </c>
      <c r="F51" s="2">
        <v>8</v>
      </c>
      <c r="G51" s="2">
        <v>1</v>
      </c>
      <c r="H51" s="2" t="s">
        <v>23</v>
      </c>
      <c r="I51" s="2">
        <v>4</v>
      </c>
      <c r="J51" s="2" t="s">
        <v>28</v>
      </c>
      <c r="K51" s="2">
        <v>4</v>
      </c>
      <c r="L51" s="2">
        <v>1</v>
      </c>
      <c r="M51" s="2" t="s">
        <v>50</v>
      </c>
      <c r="N51" s="2">
        <v>4</v>
      </c>
      <c r="O51" s="2" t="s">
        <v>29</v>
      </c>
      <c r="P51" t="s">
        <v>39</v>
      </c>
      <c r="Q51" s="2" t="s">
        <v>47</v>
      </c>
      <c r="R51" s="2"/>
      <c r="S51" s="14">
        <v>2269</v>
      </c>
      <c r="T51" s="2">
        <v>1</v>
      </c>
      <c r="U51" s="2" t="s">
        <v>26</v>
      </c>
      <c r="V51" s="2">
        <v>3</v>
      </c>
      <c r="W51" s="2">
        <v>1</v>
      </c>
      <c r="X51" s="2">
        <v>2</v>
      </c>
      <c r="Y51" s="2">
        <v>3</v>
      </c>
      <c r="Z51" s="2">
        <v>1</v>
      </c>
      <c r="AA51" s="2">
        <v>0</v>
      </c>
      <c r="AB51" s="2">
        <v>0</v>
      </c>
      <c r="AC51" s="2">
        <v>1</v>
      </c>
      <c r="AD51" s="2">
        <f>IF(Table1[[#This Row],[Salary]]&lt;10000,2,0)</f>
        <v>2</v>
      </c>
      <c r="AE51" s="2">
        <f>IF(AND(Table1[[#This Row],[Tenure]]&gt;=2,Table1[[#This Row],[Tenure]]&lt;=4),2,0)</f>
        <v>0</v>
      </c>
      <c r="AF51" s="2">
        <f>IF(Table1[[#This Row],[PerformanceRating]]&lt;=2,3,0)</f>
        <v>0</v>
      </c>
      <c r="AG51" s="2">
        <f>IF(Table1[[#This Row],[OverTime]]="Yes",2,0)</f>
        <v>0</v>
      </c>
      <c r="AH51" s="2">
        <f>Table1[[#This Row],[Risk_Salary]]+Table1[[#This Row],[Risk_Tenure]]+Table1[[#This Row],[Risk_Performance]]+Table1[[#This Row],[Risk_Overtime]]</f>
        <v>2</v>
      </c>
      <c r="AI51" s="2" t="str">
        <f>IF(Table1[[#This Row],[Total_Risk_Score]]&gt;=6,"High",IF(Table1[[#This Row],[Total_Risk_Score]]&gt;=3,"Medium","Low"))</f>
        <v>Low</v>
      </c>
    </row>
    <row r="52" spans="1:35" x14ac:dyDescent="0.35">
      <c r="A52" t="s">
        <v>108</v>
      </c>
      <c r="B52" s="2">
        <v>48</v>
      </c>
      <c r="C52" s="2" t="s">
        <v>21</v>
      </c>
      <c r="D52" s="2" t="s">
        <v>22</v>
      </c>
      <c r="E52" s="2" t="s">
        <v>40</v>
      </c>
      <c r="F52" s="2">
        <v>1</v>
      </c>
      <c r="G52" s="2">
        <v>2</v>
      </c>
      <c r="H52" s="2" t="s">
        <v>23</v>
      </c>
      <c r="I52" s="2">
        <v>1</v>
      </c>
      <c r="J52" s="2" t="s">
        <v>28</v>
      </c>
      <c r="K52" s="2">
        <v>2</v>
      </c>
      <c r="L52" s="2">
        <v>3</v>
      </c>
      <c r="M52" s="2" t="s">
        <v>50</v>
      </c>
      <c r="N52" s="2">
        <v>3</v>
      </c>
      <c r="O52" s="2" t="s">
        <v>25</v>
      </c>
      <c r="P52" t="s">
        <v>39</v>
      </c>
      <c r="Q52" s="2" t="s">
        <v>48</v>
      </c>
      <c r="R52" s="2"/>
      <c r="S52" s="14">
        <v>5381</v>
      </c>
      <c r="T52" s="2">
        <v>9</v>
      </c>
      <c r="U52" s="2" t="s">
        <v>21</v>
      </c>
      <c r="V52" s="2">
        <v>3</v>
      </c>
      <c r="W52" s="2">
        <v>23</v>
      </c>
      <c r="X52" s="2">
        <v>2</v>
      </c>
      <c r="Y52" s="2">
        <v>3</v>
      </c>
      <c r="Z52" s="2">
        <v>1</v>
      </c>
      <c r="AA52" s="2">
        <v>0</v>
      </c>
      <c r="AB52" s="2">
        <v>0</v>
      </c>
      <c r="AC52" s="2">
        <v>0</v>
      </c>
      <c r="AD52" s="2">
        <f>IF(Table1[[#This Row],[Salary]]&lt;10000,2,0)</f>
        <v>2</v>
      </c>
      <c r="AE52" s="2">
        <f>IF(AND(Table1[[#This Row],[Tenure]]&gt;=2,Table1[[#This Row],[Tenure]]&lt;=4),2,0)</f>
        <v>0</v>
      </c>
      <c r="AF52" s="2">
        <f>IF(Table1[[#This Row],[PerformanceRating]]&lt;=2,3,0)</f>
        <v>0</v>
      </c>
      <c r="AG52" s="2">
        <f>IF(Table1[[#This Row],[OverTime]]="Yes",2,0)</f>
        <v>2</v>
      </c>
      <c r="AH52" s="2">
        <f>Table1[[#This Row],[Risk_Salary]]+Table1[[#This Row],[Risk_Tenure]]+Table1[[#This Row],[Risk_Performance]]+Table1[[#This Row],[Risk_Overtime]]</f>
        <v>4</v>
      </c>
      <c r="AI52" s="2" t="str">
        <f>IF(Table1[[#This Row],[Total_Risk_Score]]&gt;=6,"High",IF(Table1[[#This Row],[Total_Risk_Score]]&gt;=3,"Medium","Low"))</f>
        <v>Medium</v>
      </c>
    </row>
    <row r="53" spans="1:35" x14ac:dyDescent="0.35">
      <c r="A53" t="s">
        <v>109</v>
      </c>
      <c r="B53" s="2">
        <v>28</v>
      </c>
      <c r="C53" s="2" t="s">
        <v>21</v>
      </c>
      <c r="D53" s="2" t="s">
        <v>22</v>
      </c>
      <c r="E53" s="2" t="s">
        <v>40</v>
      </c>
      <c r="F53" s="2">
        <v>5</v>
      </c>
      <c r="G53" s="2">
        <v>4</v>
      </c>
      <c r="H53" s="2" t="s">
        <v>35</v>
      </c>
      <c r="I53" s="2">
        <v>3</v>
      </c>
      <c r="J53" s="2" t="s">
        <v>28</v>
      </c>
      <c r="K53" s="2">
        <v>3</v>
      </c>
      <c r="L53" s="2">
        <v>1</v>
      </c>
      <c r="M53" s="2" t="s">
        <v>50</v>
      </c>
      <c r="N53" s="2">
        <v>3</v>
      </c>
      <c r="O53" s="2" t="s">
        <v>25</v>
      </c>
      <c r="P53" t="s">
        <v>49</v>
      </c>
      <c r="Q53" s="2" t="s">
        <v>45</v>
      </c>
      <c r="R53" s="2"/>
      <c r="S53" s="14">
        <v>3441</v>
      </c>
      <c r="T53" s="2">
        <v>1</v>
      </c>
      <c r="U53" s="2" t="s">
        <v>21</v>
      </c>
      <c r="V53" s="2">
        <v>3</v>
      </c>
      <c r="W53" s="2">
        <v>2</v>
      </c>
      <c r="X53" s="2">
        <v>3</v>
      </c>
      <c r="Y53" s="2">
        <v>2</v>
      </c>
      <c r="Z53" s="2">
        <v>2</v>
      </c>
      <c r="AA53" s="2">
        <v>2</v>
      </c>
      <c r="AB53" s="2">
        <v>2</v>
      </c>
      <c r="AC53" s="2">
        <v>2</v>
      </c>
      <c r="AD53" s="2">
        <f>IF(Table1[[#This Row],[Salary]]&lt;10000,2,0)</f>
        <v>2</v>
      </c>
      <c r="AE53" s="2">
        <f>IF(AND(Table1[[#This Row],[Tenure]]&gt;=2,Table1[[#This Row],[Tenure]]&lt;=4),2,0)</f>
        <v>2</v>
      </c>
      <c r="AF53" s="2">
        <f>IF(Table1[[#This Row],[PerformanceRating]]&lt;=2,3,0)</f>
        <v>0</v>
      </c>
      <c r="AG53" s="2">
        <f>IF(Table1[[#This Row],[OverTime]]="Yes",2,0)</f>
        <v>2</v>
      </c>
      <c r="AH53" s="2">
        <f>Table1[[#This Row],[Risk_Salary]]+Table1[[#This Row],[Risk_Tenure]]+Table1[[#This Row],[Risk_Performance]]+Table1[[#This Row],[Risk_Overtime]]</f>
        <v>6</v>
      </c>
      <c r="AI53" s="2" t="str">
        <f>IF(Table1[[#This Row],[Total_Risk_Score]]&gt;=6,"High",IF(Table1[[#This Row],[Total_Risk_Score]]&gt;=3,"Medium","Low"))</f>
        <v>High</v>
      </c>
    </row>
    <row r="54" spans="1:35" x14ac:dyDescent="0.35">
      <c r="A54" t="s">
        <v>110</v>
      </c>
      <c r="B54" s="2">
        <v>44</v>
      </c>
      <c r="C54" s="2" t="s">
        <v>26</v>
      </c>
      <c r="D54" s="2" t="s">
        <v>22</v>
      </c>
      <c r="E54" s="2" t="s">
        <v>39</v>
      </c>
      <c r="F54" s="2">
        <v>1</v>
      </c>
      <c r="G54" s="2">
        <v>5</v>
      </c>
      <c r="H54" s="2" t="s">
        <v>34</v>
      </c>
      <c r="I54" s="2">
        <v>2</v>
      </c>
      <c r="J54" s="2" t="s">
        <v>24</v>
      </c>
      <c r="K54" s="2">
        <v>3</v>
      </c>
      <c r="L54" s="2">
        <v>2</v>
      </c>
      <c r="M54" s="2" t="s">
        <v>50</v>
      </c>
      <c r="N54" s="2">
        <v>1</v>
      </c>
      <c r="O54" s="2" t="s">
        <v>32</v>
      </c>
      <c r="P54" t="s">
        <v>49</v>
      </c>
      <c r="Q54" s="2" t="s">
        <v>47</v>
      </c>
      <c r="R54" s="2"/>
      <c r="S54" s="14">
        <v>5454</v>
      </c>
      <c r="T54" s="2">
        <v>5</v>
      </c>
      <c r="U54" s="2" t="s">
        <v>21</v>
      </c>
      <c r="V54" s="2">
        <v>4</v>
      </c>
      <c r="W54" s="2">
        <v>9</v>
      </c>
      <c r="X54" s="2">
        <v>2</v>
      </c>
      <c r="Y54" s="2">
        <v>2</v>
      </c>
      <c r="Z54" s="2">
        <v>4</v>
      </c>
      <c r="AA54" s="2">
        <v>3</v>
      </c>
      <c r="AB54" s="2">
        <v>1</v>
      </c>
      <c r="AC54" s="2">
        <v>3</v>
      </c>
      <c r="AD54" s="2">
        <f>IF(Table1[[#This Row],[Salary]]&lt;10000,2,0)</f>
        <v>2</v>
      </c>
      <c r="AE54" s="2">
        <f>IF(AND(Table1[[#This Row],[Tenure]]&gt;=2,Table1[[#This Row],[Tenure]]&lt;=4),2,0)</f>
        <v>2</v>
      </c>
      <c r="AF54" s="2">
        <f>IF(Table1[[#This Row],[PerformanceRating]]&lt;=2,3,0)</f>
        <v>0</v>
      </c>
      <c r="AG54" s="2">
        <f>IF(Table1[[#This Row],[OverTime]]="Yes",2,0)</f>
        <v>2</v>
      </c>
      <c r="AH54" s="2">
        <f>Table1[[#This Row],[Risk_Salary]]+Table1[[#This Row],[Risk_Tenure]]+Table1[[#This Row],[Risk_Performance]]+Table1[[#This Row],[Risk_Overtime]]</f>
        <v>6</v>
      </c>
      <c r="AI54" s="2" t="str">
        <f>IF(Table1[[#This Row],[Total_Risk_Score]]&gt;=6,"High",IF(Table1[[#This Row],[Total_Risk_Score]]&gt;=3,"Medium","Low"))</f>
        <v>High</v>
      </c>
    </row>
    <row r="55" spans="1:35" x14ac:dyDescent="0.35">
      <c r="A55" t="s">
        <v>111</v>
      </c>
      <c r="B55" s="2">
        <v>35</v>
      </c>
      <c r="C55" s="2" t="s">
        <v>26</v>
      </c>
      <c r="D55" s="2" t="s">
        <v>33</v>
      </c>
      <c r="E55" s="2" t="s">
        <v>40</v>
      </c>
      <c r="F55" s="2">
        <v>11</v>
      </c>
      <c r="G55" s="2">
        <v>2</v>
      </c>
      <c r="H55" s="2" t="s">
        <v>31</v>
      </c>
      <c r="I55" s="2">
        <v>3</v>
      </c>
      <c r="J55" s="2" t="s">
        <v>28</v>
      </c>
      <c r="K55" s="2">
        <v>2</v>
      </c>
      <c r="L55" s="2">
        <v>3</v>
      </c>
      <c r="M55" s="2" t="s">
        <v>53</v>
      </c>
      <c r="N55" s="2">
        <v>1</v>
      </c>
      <c r="O55" s="2" t="s">
        <v>29</v>
      </c>
      <c r="P55" t="s">
        <v>40</v>
      </c>
      <c r="Q55" s="2" t="s">
        <v>46</v>
      </c>
      <c r="R55" s="2"/>
      <c r="S55" s="14">
        <v>9884</v>
      </c>
      <c r="T55" s="2">
        <v>2</v>
      </c>
      <c r="U55" s="2" t="s">
        <v>21</v>
      </c>
      <c r="V55" s="2">
        <v>3</v>
      </c>
      <c r="W55" s="2">
        <v>10</v>
      </c>
      <c r="X55" s="2">
        <v>3</v>
      </c>
      <c r="Y55" s="2">
        <v>3</v>
      </c>
      <c r="Z55" s="2">
        <v>4</v>
      </c>
      <c r="AA55" s="2">
        <v>0</v>
      </c>
      <c r="AB55" s="2">
        <v>2</v>
      </c>
      <c r="AC55" s="2">
        <v>3</v>
      </c>
      <c r="AD55" s="2">
        <f>IF(Table1[[#This Row],[Salary]]&lt;10000,2,0)</f>
        <v>2</v>
      </c>
      <c r="AE55" s="2">
        <f>IF(AND(Table1[[#This Row],[Tenure]]&gt;=2,Table1[[#This Row],[Tenure]]&lt;=4),2,0)</f>
        <v>2</v>
      </c>
      <c r="AF55" s="2">
        <f>IF(Table1[[#This Row],[PerformanceRating]]&lt;=2,3,0)</f>
        <v>0</v>
      </c>
      <c r="AG55" s="2">
        <f>IF(Table1[[#This Row],[OverTime]]="Yes",2,0)</f>
        <v>2</v>
      </c>
      <c r="AH55" s="2">
        <f>Table1[[#This Row],[Risk_Salary]]+Table1[[#This Row],[Risk_Tenure]]+Table1[[#This Row],[Risk_Performance]]+Table1[[#This Row],[Risk_Overtime]]</f>
        <v>6</v>
      </c>
      <c r="AI55" s="2" t="str">
        <f>IF(Table1[[#This Row],[Total_Risk_Score]]&gt;=6,"High",IF(Table1[[#This Row],[Total_Risk_Score]]&gt;=3,"Medium","Low"))</f>
        <v>High</v>
      </c>
    </row>
    <row r="56" spans="1:35" x14ac:dyDescent="0.35">
      <c r="A56" t="s">
        <v>112</v>
      </c>
      <c r="B56" s="2">
        <v>26</v>
      </c>
      <c r="C56" s="2" t="s">
        <v>26</v>
      </c>
      <c r="D56" s="2" t="s">
        <v>22</v>
      </c>
      <c r="E56" s="2" t="s">
        <v>39</v>
      </c>
      <c r="F56" s="2">
        <v>23</v>
      </c>
      <c r="G56" s="2">
        <v>3</v>
      </c>
      <c r="H56" s="2" t="s">
        <v>34</v>
      </c>
      <c r="I56" s="2">
        <v>3</v>
      </c>
      <c r="J56" s="2" t="s">
        <v>24</v>
      </c>
      <c r="K56" s="2">
        <v>2</v>
      </c>
      <c r="L56" s="2">
        <v>2</v>
      </c>
      <c r="M56" s="2" t="s">
        <v>50</v>
      </c>
      <c r="N56" s="2">
        <v>4</v>
      </c>
      <c r="O56" s="2" t="s">
        <v>29</v>
      </c>
      <c r="P56" t="s">
        <v>40</v>
      </c>
      <c r="Q56" s="2" t="s">
        <v>48</v>
      </c>
      <c r="R56" s="2"/>
      <c r="S56" s="14">
        <v>4157</v>
      </c>
      <c r="T56" s="2">
        <v>7</v>
      </c>
      <c r="U56" s="2" t="s">
        <v>21</v>
      </c>
      <c r="V56" s="2">
        <v>3</v>
      </c>
      <c r="W56" s="2">
        <v>5</v>
      </c>
      <c r="X56" s="2">
        <v>2</v>
      </c>
      <c r="Y56" s="2">
        <v>2</v>
      </c>
      <c r="Z56" s="2">
        <v>2</v>
      </c>
      <c r="AA56" s="2">
        <v>2</v>
      </c>
      <c r="AB56" s="2">
        <v>0</v>
      </c>
      <c r="AC56" s="2">
        <v>0</v>
      </c>
      <c r="AD56" s="2">
        <f>IF(Table1[[#This Row],[Salary]]&lt;10000,2,0)</f>
        <v>2</v>
      </c>
      <c r="AE56" s="2">
        <f>IF(AND(Table1[[#This Row],[Tenure]]&gt;=2,Table1[[#This Row],[Tenure]]&lt;=4),2,0)</f>
        <v>2</v>
      </c>
      <c r="AF56" s="2">
        <f>IF(Table1[[#This Row],[PerformanceRating]]&lt;=2,3,0)</f>
        <v>0</v>
      </c>
      <c r="AG56" s="2">
        <f>IF(Table1[[#This Row],[OverTime]]="Yes",2,0)</f>
        <v>2</v>
      </c>
      <c r="AH56" s="2">
        <f>Table1[[#This Row],[Risk_Salary]]+Table1[[#This Row],[Risk_Tenure]]+Table1[[#This Row],[Risk_Performance]]+Table1[[#This Row],[Risk_Overtime]]</f>
        <v>6</v>
      </c>
      <c r="AI56" s="2" t="str">
        <f>IF(Table1[[#This Row],[Total_Risk_Score]]&gt;=6,"High",IF(Table1[[#This Row],[Total_Risk_Score]]&gt;=3,"Medium","Low"))</f>
        <v>High</v>
      </c>
    </row>
    <row r="57" spans="1:35" x14ac:dyDescent="0.35">
      <c r="A57" t="s">
        <v>113</v>
      </c>
      <c r="B57" s="2">
        <v>33</v>
      </c>
      <c r="C57" s="2" t="s">
        <v>26</v>
      </c>
      <c r="D57" s="2" t="s">
        <v>27</v>
      </c>
      <c r="E57" s="2" t="s">
        <v>40</v>
      </c>
      <c r="F57" s="2">
        <v>1</v>
      </c>
      <c r="G57" s="2">
        <v>2</v>
      </c>
      <c r="H57" s="2" t="s">
        <v>23</v>
      </c>
      <c r="I57" s="2">
        <v>1</v>
      </c>
      <c r="J57" s="2" t="s">
        <v>24</v>
      </c>
      <c r="K57" s="2">
        <v>3</v>
      </c>
      <c r="L57" s="2">
        <v>3</v>
      </c>
      <c r="M57" s="2" t="s">
        <v>53</v>
      </c>
      <c r="N57" s="2">
        <v>4</v>
      </c>
      <c r="O57" s="2" t="s">
        <v>25</v>
      </c>
      <c r="P57" t="s">
        <v>39</v>
      </c>
      <c r="Q57" s="2" t="s">
        <v>47</v>
      </c>
      <c r="R57" s="2"/>
      <c r="S57" s="14">
        <v>13458</v>
      </c>
      <c r="T57" s="2">
        <v>1</v>
      </c>
      <c r="U57" s="2" t="s">
        <v>21</v>
      </c>
      <c r="V57" s="2">
        <v>3</v>
      </c>
      <c r="W57" s="2">
        <v>15</v>
      </c>
      <c r="X57" s="2">
        <v>1</v>
      </c>
      <c r="Y57" s="2">
        <v>3</v>
      </c>
      <c r="Z57" s="2">
        <v>15</v>
      </c>
      <c r="AA57" s="2">
        <v>14</v>
      </c>
      <c r="AB57" s="2">
        <v>8</v>
      </c>
      <c r="AC57" s="2">
        <v>12</v>
      </c>
      <c r="AD57" s="2">
        <f>IF(Table1[[#This Row],[Salary]]&lt;10000,2,0)</f>
        <v>0</v>
      </c>
      <c r="AE57" s="2">
        <f>IF(AND(Table1[[#This Row],[Tenure]]&gt;=2,Table1[[#This Row],[Tenure]]&lt;=4),2,0)</f>
        <v>0</v>
      </c>
      <c r="AF57" s="2">
        <f>IF(Table1[[#This Row],[PerformanceRating]]&lt;=2,3,0)</f>
        <v>0</v>
      </c>
      <c r="AG57" s="2">
        <f>IF(Table1[[#This Row],[OverTime]]="Yes",2,0)</f>
        <v>2</v>
      </c>
      <c r="AH57" s="2">
        <f>Table1[[#This Row],[Risk_Salary]]+Table1[[#This Row],[Risk_Tenure]]+Table1[[#This Row],[Risk_Performance]]+Table1[[#This Row],[Risk_Overtime]]</f>
        <v>2</v>
      </c>
      <c r="AI57" s="2" t="str">
        <f>IF(Table1[[#This Row],[Total_Risk_Score]]&gt;=6,"High",IF(Table1[[#This Row],[Total_Risk_Score]]&gt;=3,"Medium","Low"))</f>
        <v>Low</v>
      </c>
    </row>
    <row r="58" spans="1:35" x14ac:dyDescent="0.35">
      <c r="A58" t="s">
        <v>114</v>
      </c>
      <c r="B58" s="2">
        <v>35</v>
      </c>
      <c r="C58" s="2" t="s">
        <v>26</v>
      </c>
      <c r="D58" s="2" t="s">
        <v>27</v>
      </c>
      <c r="E58" s="2" t="s">
        <v>39</v>
      </c>
      <c r="F58" s="2">
        <v>18</v>
      </c>
      <c r="G58" s="2">
        <v>5</v>
      </c>
      <c r="H58" s="2" t="s">
        <v>23</v>
      </c>
      <c r="I58" s="2">
        <v>2</v>
      </c>
      <c r="J58" s="2" t="s">
        <v>28</v>
      </c>
      <c r="K58" s="2">
        <v>3</v>
      </c>
      <c r="L58" s="2">
        <v>3</v>
      </c>
      <c r="M58" s="2" t="s">
        <v>50</v>
      </c>
      <c r="N58" s="2">
        <v>1</v>
      </c>
      <c r="O58" s="2" t="s">
        <v>29</v>
      </c>
      <c r="P58" t="s">
        <v>49</v>
      </c>
      <c r="Q58" s="2" t="s">
        <v>46</v>
      </c>
      <c r="R58" s="2"/>
      <c r="S58" s="14">
        <v>9069</v>
      </c>
      <c r="T58" s="2">
        <v>1</v>
      </c>
      <c r="U58" s="2" t="s">
        <v>26</v>
      </c>
      <c r="V58" s="2">
        <v>4</v>
      </c>
      <c r="W58" s="2">
        <v>9</v>
      </c>
      <c r="X58" s="2">
        <v>3</v>
      </c>
      <c r="Y58" s="2">
        <v>2</v>
      </c>
      <c r="Z58" s="2">
        <v>9</v>
      </c>
      <c r="AA58" s="2">
        <v>8</v>
      </c>
      <c r="AB58" s="2">
        <v>1</v>
      </c>
      <c r="AC58" s="2">
        <v>8</v>
      </c>
      <c r="AD58" s="2">
        <f>IF(Table1[[#This Row],[Salary]]&lt;10000,2,0)</f>
        <v>2</v>
      </c>
      <c r="AE58" s="2">
        <f>IF(AND(Table1[[#This Row],[Tenure]]&gt;=2,Table1[[#This Row],[Tenure]]&lt;=4),2,0)</f>
        <v>0</v>
      </c>
      <c r="AF58" s="2">
        <f>IF(Table1[[#This Row],[PerformanceRating]]&lt;=2,3,0)</f>
        <v>0</v>
      </c>
      <c r="AG58" s="2">
        <f>IF(Table1[[#This Row],[OverTime]]="Yes",2,0)</f>
        <v>0</v>
      </c>
      <c r="AH58" s="2">
        <f>Table1[[#This Row],[Risk_Salary]]+Table1[[#This Row],[Risk_Tenure]]+Table1[[#This Row],[Risk_Performance]]+Table1[[#This Row],[Risk_Overtime]]</f>
        <v>2</v>
      </c>
      <c r="AI58" s="2" t="str">
        <f>IF(Table1[[#This Row],[Total_Risk_Score]]&gt;=6,"High",IF(Table1[[#This Row],[Total_Risk_Score]]&gt;=3,"Medium","Low"))</f>
        <v>Low</v>
      </c>
    </row>
    <row r="59" spans="1:35" x14ac:dyDescent="0.35">
      <c r="A59" t="s">
        <v>115</v>
      </c>
      <c r="B59" s="2">
        <v>35</v>
      </c>
      <c r="C59" s="2" t="s">
        <v>26</v>
      </c>
      <c r="D59" s="2" t="s">
        <v>22</v>
      </c>
      <c r="E59" s="2" t="s">
        <v>40</v>
      </c>
      <c r="F59" s="2">
        <v>23</v>
      </c>
      <c r="G59" s="2">
        <v>4</v>
      </c>
      <c r="H59" s="2" t="s">
        <v>31</v>
      </c>
      <c r="I59" s="2">
        <v>3</v>
      </c>
      <c r="J59" s="2" t="s">
        <v>24</v>
      </c>
      <c r="K59" s="2">
        <v>3</v>
      </c>
      <c r="L59" s="2">
        <v>1</v>
      </c>
      <c r="M59" s="2" t="s">
        <v>50</v>
      </c>
      <c r="N59" s="2">
        <v>1</v>
      </c>
      <c r="O59" s="2" t="s">
        <v>29</v>
      </c>
      <c r="P59" t="s">
        <v>49</v>
      </c>
      <c r="Q59" s="2" t="s">
        <v>48</v>
      </c>
      <c r="R59" s="2"/>
      <c r="S59" s="14">
        <v>4014</v>
      </c>
      <c r="T59" s="2">
        <v>3</v>
      </c>
      <c r="U59" s="2" t="s">
        <v>21</v>
      </c>
      <c r="V59" s="2">
        <v>3</v>
      </c>
      <c r="W59" s="2">
        <v>4</v>
      </c>
      <c r="X59" s="2">
        <v>3</v>
      </c>
      <c r="Y59" s="2">
        <v>3</v>
      </c>
      <c r="Z59" s="2">
        <v>2</v>
      </c>
      <c r="AA59" s="2">
        <v>2</v>
      </c>
      <c r="AB59" s="2">
        <v>2</v>
      </c>
      <c r="AC59" s="2">
        <v>2</v>
      </c>
      <c r="AD59" s="2">
        <f>IF(Table1[[#This Row],[Salary]]&lt;10000,2,0)</f>
        <v>2</v>
      </c>
      <c r="AE59" s="2">
        <f>IF(AND(Table1[[#This Row],[Tenure]]&gt;=2,Table1[[#This Row],[Tenure]]&lt;=4),2,0)</f>
        <v>2</v>
      </c>
      <c r="AF59" s="2">
        <f>IF(Table1[[#This Row],[PerformanceRating]]&lt;=2,3,0)</f>
        <v>0</v>
      </c>
      <c r="AG59" s="2">
        <f>IF(Table1[[#This Row],[OverTime]]="Yes",2,0)</f>
        <v>2</v>
      </c>
      <c r="AH59" s="2">
        <f>Table1[[#This Row],[Risk_Salary]]+Table1[[#This Row],[Risk_Tenure]]+Table1[[#This Row],[Risk_Performance]]+Table1[[#This Row],[Risk_Overtime]]</f>
        <v>6</v>
      </c>
      <c r="AI59" s="2" t="str">
        <f>IF(Table1[[#This Row],[Total_Risk_Score]]&gt;=6,"High",IF(Table1[[#This Row],[Total_Risk_Score]]&gt;=3,"Medium","Low"))</f>
        <v>High</v>
      </c>
    </row>
    <row r="60" spans="1:35" x14ac:dyDescent="0.35">
      <c r="A60" t="s">
        <v>116</v>
      </c>
      <c r="B60" s="2">
        <v>31</v>
      </c>
      <c r="C60" s="2" t="s">
        <v>26</v>
      </c>
      <c r="D60" s="2" t="s">
        <v>22</v>
      </c>
      <c r="E60" s="2" t="s">
        <v>40</v>
      </c>
      <c r="F60" s="2">
        <v>7</v>
      </c>
      <c r="G60" s="2">
        <v>4</v>
      </c>
      <c r="H60" s="2" t="s">
        <v>23</v>
      </c>
      <c r="I60" s="2">
        <v>4</v>
      </c>
      <c r="J60" s="2" t="s">
        <v>28</v>
      </c>
      <c r="K60" s="2">
        <v>3</v>
      </c>
      <c r="L60" s="2">
        <v>2</v>
      </c>
      <c r="M60" s="2" t="s">
        <v>50</v>
      </c>
      <c r="N60" s="2">
        <v>4</v>
      </c>
      <c r="O60" s="2" t="s">
        <v>32</v>
      </c>
      <c r="P60" t="s">
        <v>40</v>
      </c>
      <c r="Q60" s="2" t="s">
        <v>47</v>
      </c>
      <c r="R60" s="2"/>
      <c r="S60" s="14">
        <v>5915</v>
      </c>
      <c r="T60" s="2">
        <v>3</v>
      </c>
      <c r="U60" s="2" t="s">
        <v>26</v>
      </c>
      <c r="V60" s="2">
        <v>4</v>
      </c>
      <c r="W60" s="2">
        <v>10</v>
      </c>
      <c r="X60" s="2">
        <v>3</v>
      </c>
      <c r="Y60" s="2">
        <v>2</v>
      </c>
      <c r="Z60" s="2">
        <v>7</v>
      </c>
      <c r="AA60" s="2">
        <v>7</v>
      </c>
      <c r="AB60" s="2">
        <v>1</v>
      </c>
      <c r="AC60" s="2">
        <v>7</v>
      </c>
      <c r="AD60" s="2">
        <f>IF(Table1[[#This Row],[Salary]]&lt;10000,2,0)</f>
        <v>2</v>
      </c>
      <c r="AE60" s="2">
        <f>IF(AND(Table1[[#This Row],[Tenure]]&gt;=2,Table1[[#This Row],[Tenure]]&lt;=4),2,0)</f>
        <v>0</v>
      </c>
      <c r="AF60" s="2">
        <f>IF(Table1[[#This Row],[PerformanceRating]]&lt;=2,3,0)</f>
        <v>0</v>
      </c>
      <c r="AG60" s="2">
        <f>IF(Table1[[#This Row],[OverTime]]="Yes",2,0)</f>
        <v>0</v>
      </c>
      <c r="AH60" s="2">
        <f>Table1[[#This Row],[Risk_Salary]]+Table1[[#This Row],[Risk_Tenure]]+Table1[[#This Row],[Risk_Performance]]+Table1[[#This Row],[Risk_Overtime]]</f>
        <v>2</v>
      </c>
      <c r="AI60" s="2" t="str">
        <f>IF(Table1[[#This Row],[Total_Risk_Score]]&gt;=6,"High",IF(Table1[[#This Row],[Total_Risk_Score]]&gt;=3,"Medium","Low"))</f>
        <v>Low</v>
      </c>
    </row>
    <row r="61" spans="1:35" x14ac:dyDescent="0.35">
      <c r="A61" t="s">
        <v>117</v>
      </c>
      <c r="B61" s="2">
        <v>37</v>
      </c>
      <c r="C61" s="2" t="s">
        <v>26</v>
      </c>
      <c r="D61" s="2" t="s">
        <v>22</v>
      </c>
      <c r="E61" s="2" t="s">
        <v>40</v>
      </c>
      <c r="F61" s="2">
        <v>1</v>
      </c>
      <c r="G61" s="2">
        <v>4</v>
      </c>
      <c r="H61" s="2" t="s">
        <v>23</v>
      </c>
      <c r="I61" s="2">
        <v>1</v>
      </c>
      <c r="J61" s="2" t="s">
        <v>28</v>
      </c>
      <c r="K61" s="2">
        <v>2</v>
      </c>
      <c r="L61" s="2">
        <v>2</v>
      </c>
      <c r="M61" s="2" t="s">
        <v>53</v>
      </c>
      <c r="N61" s="2">
        <v>3</v>
      </c>
      <c r="O61" s="2" t="s">
        <v>32</v>
      </c>
      <c r="P61" t="s">
        <v>40</v>
      </c>
      <c r="Q61" s="2" t="s">
        <v>47</v>
      </c>
      <c r="R61" s="2"/>
      <c r="S61" s="14">
        <v>5993</v>
      </c>
      <c r="T61" s="2">
        <v>1</v>
      </c>
      <c r="U61" s="2" t="s">
        <v>26</v>
      </c>
      <c r="V61" s="2">
        <v>3</v>
      </c>
      <c r="W61" s="2">
        <v>7</v>
      </c>
      <c r="X61" s="2">
        <v>2</v>
      </c>
      <c r="Y61" s="2">
        <v>4</v>
      </c>
      <c r="Z61" s="2">
        <v>7</v>
      </c>
      <c r="AA61" s="2">
        <v>5</v>
      </c>
      <c r="AB61" s="2">
        <v>0</v>
      </c>
      <c r="AC61" s="2">
        <v>7</v>
      </c>
      <c r="AD61" s="2">
        <f>IF(Table1[[#This Row],[Salary]]&lt;10000,2,0)</f>
        <v>2</v>
      </c>
      <c r="AE61" s="2">
        <f>IF(AND(Table1[[#This Row],[Tenure]]&gt;=2,Table1[[#This Row],[Tenure]]&lt;=4),2,0)</f>
        <v>0</v>
      </c>
      <c r="AF61" s="2">
        <f>IF(Table1[[#This Row],[PerformanceRating]]&lt;=2,3,0)</f>
        <v>0</v>
      </c>
      <c r="AG61" s="2">
        <f>IF(Table1[[#This Row],[OverTime]]="Yes",2,0)</f>
        <v>0</v>
      </c>
      <c r="AH61" s="2">
        <f>Table1[[#This Row],[Risk_Salary]]+Table1[[#This Row],[Risk_Tenure]]+Table1[[#This Row],[Risk_Performance]]+Table1[[#This Row],[Risk_Overtime]]</f>
        <v>2</v>
      </c>
      <c r="AI61" s="2" t="str">
        <f>IF(Table1[[#This Row],[Total_Risk_Score]]&gt;=6,"High",IF(Table1[[#This Row],[Total_Risk_Score]]&gt;=3,"Medium","Low"))</f>
        <v>Low</v>
      </c>
    </row>
    <row r="62" spans="1:35" x14ac:dyDescent="0.35">
      <c r="A62" t="s">
        <v>118</v>
      </c>
      <c r="B62" s="2">
        <v>32</v>
      </c>
      <c r="C62" s="2" t="s">
        <v>26</v>
      </c>
      <c r="D62" s="2" t="s">
        <v>22</v>
      </c>
      <c r="E62" s="2" t="s">
        <v>40</v>
      </c>
      <c r="F62" s="2">
        <v>1</v>
      </c>
      <c r="G62" s="2">
        <v>3</v>
      </c>
      <c r="H62" s="2" t="s">
        <v>31</v>
      </c>
      <c r="I62" s="2">
        <v>1</v>
      </c>
      <c r="J62" s="2" t="s">
        <v>28</v>
      </c>
      <c r="K62" s="2">
        <v>3</v>
      </c>
      <c r="L62" s="2">
        <v>2</v>
      </c>
      <c r="M62" s="2" t="s">
        <v>53</v>
      </c>
      <c r="N62" s="2">
        <v>4</v>
      </c>
      <c r="O62" s="2" t="s">
        <v>29</v>
      </c>
      <c r="P62" t="s">
        <v>49</v>
      </c>
      <c r="Q62" s="2" t="s">
        <v>48</v>
      </c>
      <c r="R62" s="2"/>
      <c r="S62" s="14">
        <v>6162</v>
      </c>
      <c r="T62" s="2">
        <v>1</v>
      </c>
      <c r="U62" s="2" t="s">
        <v>21</v>
      </c>
      <c r="V62" s="2">
        <v>4</v>
      </c>
      <c r="W62" s="2">
        <v>9</v>
      </c>
      <c r="X62" s="2">
        <v>3</v>
      </c>
      <c r="Y62" s="2">
        <v>3</v>
      </c>
      <c r="Z62" s="2">
        <v>9</v>
      </c>
      <c r="AA62" s="2">
        <v>8</v>
      </c>
      <c r="AB62" s="2">
        <v>7</v>
      </c>
      <c r="AC62" s="2">
        <v>8</v>
      </c>
      <c r="AD62" s="2">
        <f>IF(Table1[[#This Row],[Salary]]&lt;10000,2,0)</f>
        <v>2</v>
      </c>
      <c r="AE62" s="2">
        <f>IF(AND(Table1[[#This Row],[Tenure]]&gt;=2,Table1[[#This Row],[Tenure]]&lt;=4),2,0)</f>
        <v>0</v>
      </c>
      <c r="AF62" s="2">
        <f>IF(Table1[[#This Row],[PerformanceRating]]&lt;=2,3,0)</f>
        <v>0</v>
      </c>
      <c r="AG62" s="2">
        <f>IF(Table1[[#This Row],[OverTime]]="Yes",2,0)</f>
        <v>2</v>
      </c>
      <c r="AH62" s="2">
        <f>Table1[[#This Row],[Risk_Salary]]+Table1[[#This Row],[Risk_Tenure]]+Table1[[#This Row],[Risk_Performance]]+Table1[[#This Row],[Risk_Overtime]]</f>
        <v>4</v>
      </c>
      <c r="AI62" s="2" t="str">
        <f>IF(Table1[[#This Row],[Total_Risk_Score]]&gt;=6,"High",IF(Table1[[#This Row],[Total_Risk_Score]]&gt;=3,"Medium","Low"))</f>
        <v>Medium</v>
      </c>
    </row>
    <row r="63" spans="1:35" x14ac:dyDescent="0.35">
      <c r="A63" t="s">
        <v>119</v>
      </c>
      <c r="B63" s="2">
        <v>38</v>
      </c>
      <c r="C63" s="2" t="s">
        <v>26</v>
      </c>
      <c r="D63" s="2" t="s">
        <v>27</v>
      </c>
      <c r="E63" s="2" t="s">
        <v>40</v>
      </c>
      <c r="F63" s="2">
        <v>29</v>
      </c>
      <c r="G63" s="2">
        <v>5</v>
      </c>
      <c r="H63" s="2" t="s">
        <v>23</v>
      </c>
      <c r="I63" s="2">
        <v>4</v>
      </c>
      <c r="J63" s="2" t="s">
        <v>24</v>
      </c>
      <c r="K63" s="2">
        <v>3</v>
      </c>
      <c r="L63" s="2">
        <v>2</v>
      </c>
      <c r="M63" s="2" t="s">
        <v>50</v>
      </c>
      <c r="N63" s="2">
        <v>4</v>
      </c>
      <c r="O63" s="2" t="s">
        <v>25</v>
      </c>
      <c r="P63" t="s">
        <v>40</v>
      </c>
      <c r="Q63" s="2" t="s">
        <v>45</v>
      </c>
      <c r="R63" s="2"/>
      <c r="S63" s="14">
        <v>2406</v>
      </c>
      <c r="T63" s="2">
        <v>1</v>
      </c>
      <c r="U63" s="2" t="s">
        <v>26</v>
      </c>
      <c r="V63" s="2">
        <v>2</v>
      </c>
      <c r="W63" s="2">
        <v>10</v>
      </c>
      <c r="X63" s="2">
        <v>2</v>
      </c>
      <c r="Y63" s="2">
        <v>3</v>
      </c>
      <c r="Z63" s="2">
        <v>10</v>
      </c>
      <c r="AA63" s="2">
        <v>3</v>
      </c>
      <c r="AB63" s="2">
        <v>9</v>
      </c>
      <c r="AC63" s="2">
        <v>9</v>
      </c>
      <c r="AD63" s="2">
        <f>IF(Table1[[#This Row],[Salary]]&lt;10000,2,0)</f>
        <v>2</v>
      </c>
      <c r="AE63" s="2">
        <f>IF(AND(Table1[[#This Row],[Tenure]]&gt;=2,Table1[[#This Row],[Tenure]]&lt;=4),2,0)</f>
        <v>0</v>
      </c>
      <c r="AF63" s="2">
        <f>IF(Table1[[#This Row],[PerformanceRating]]&lt;=2,3,0)</f>
        <v>3</v>
      </c>
      <c r="AG63" s="2">
        <f>IF(Table1[[#This Row],[OverTime]]="Yes",2,0)</f>
        <v>0</v>
      </c>
      <c r="AH63" s="2">
        <f>Table1[[#This Row],[Risk_Salary]]+Table1[[#This Row],[Risk_Tenure]]+Table1[[#This Row],[Risk_Performance]]+Table1[[#This Row],[Risk_Overtime]]</f>
        <v>5</v>
      </c>
      <c r="AI63" s="2" t="str">
        <f>IF(Table1[[#This Row],[Total_Risk_Score]]&gt;=6,"High",IF(Table1[[#This Row],[Total_Risk_Score]]&gt;=3,"Medium","Low"))</f>
        <v>Medium</v>
      </c>
    </row>
    <row r="64" spans="1:35" x14ac:dyDescent="0.35">
      <c r="A64" t="s">
        <v>120</v>
      </c>
      <c r="B64" s="2">
        <v>50</v>
      </c>
      <c r="C64" s="2" t="s">
        <v>26</v>
      </c>
      <c r="D64" s="2" t="s">
        <v>22</v>
      </c>
      <c r="E64" s="2" t="s">
        <v>40</v>
      </c>
      <c r="F64" s="2">
        <v>7</v>
      </c>
      <c r="G64" s="2">
        <v>2</v>
      </c>
      <c r="H64" s="2" t="s">
        <v>31</v>
      </c>
      <c r="I64" s="2">
        <v>2</v>
      </c>
      <c r="J64" s="2" t="s">
        <v>24</v>
      </c>
      <c r="K64" s="2">
        <v>2</v>
      </c>
      <c r="L64" s="2">
        <v>5</v>
      </c>
      <c r="M64" s="2" t="s">
        <v>53</v>
      </c>
      <c r="N64" s="2">
        <v>3</v>
      </c>
      <c r="O64" s="2" t="s">
        <v>32</v>
      </c>
      <c r="P64" t="s">
        <v>40</v>
      </c>
      <c r="Q64" s="2" t="s">
        <v>47</v>
      </c>
      <c r="R64" s="2"/>
      <c r="S64" s="14">
        <v>18740</v>
      </c>
      <c r="T64" s="2">
        <v>5</v>
      </c>
      <c r="U64" s="2" t="s">
        <v>21</v>
      </c>
      <c r="V64" s="2">
        <v>3</v>
      </c>
      <c r="W64" s="2">
        <v>29</v>
      </c>
      <c r="X64" s="2">
        <v>2</v>
      </c>
      <c r="Y64" s="2">
        <v>2</v>
      </c>
      <c r="Z64" s="2">
        <v>27</v>
      </c>
      <c r="AA64" s="2">
        <v>3</v>
      </c>
      <c r="AB64" s="2">
        <v>13</v>
      </c>
      <c r="AC64" s="2">
        <v>8</v>
      </c>
      <c r="AD64" s="2">
        <f>IF(Table1[[#This Row],[Salary]]&lt;10000,2,0)</f>
        <v>0</v>
      </c>
      <c r="AE64" s="2">
        <f>IF(AND(Table1[[#This Row],[Tenure]]&gt;=2,Table1[[#This Row],[Tenure]]&lt;=4),2,0)</f>
        <v>0</v>
      </c>
      <c r="AF64" s="2">
        <f>IF(Table1[[#This Row],[PerformanceRating]]&lt;=2,3,0)</f>
        <v>0</v>
      </c>
      <c r="AG64" s="2">
        <f>IF(Table1[[#This Row],[OverTime]]="Yes",2,0)</f>
        <v>2</v>
      </c>
      <c r="AH64" s="2">
        <f>Table1[[#This Row],[Risk_Salary]]+Table1[[#This Row],[Risk_Tenure]]+Table1[[#This Row],[Risk_Performance]]+Table1[[#This Row],[Risk_Overtime]]</f>
        <v>2</v>
      </c>
      <c r="AI64" s="2" t="str">
        <f>IF(Table1[[#This Row],[Total_Risk_Score]]&gt;=6,"High",IF(Table1[[#This Row],[Total_Risk_Score]]&gt;=3,"Medium","Low"))</f>
        <v>Low</v>
      </c>
    </row>
    <row r="65" spans="1:35" x14ac:dyDescent="0.35">
      <c r="A65" t="s">
        <v>121</v>
      </c>
      <c r="B65" s="2">
        <v>59</v>
      </c>
      <c r="C65" s="2" t="s">
        <v>26</v>
      </c>
      <c r="D65" s="2" t="s">
        <v>22</v>
      </c>
      <c r="E65" s="2" t="s">
        <v>39</v>
      </c>
      <c r="F65" s="2">
        <v>25</v>
      </c>
      <c r="G65" s="2">
        <v>3</v>
      </c>
      <c r="H65" s="2" t="s">
        <v>23</v>
      </c>
      <c r="I65" s="2">
        <v>1</v>
      </c>
      <c r="J65" s="2" t="s">
        <v>24</v>
      </c>
      <c r="K65" s="2">
        <v>3</v>
      </c>
      <c r="L65" s="2">
        <v>3</v>
      </c>
      <c r="M65" s="2" t="s">
        <v>50</v>
      </c>
      <c r="N65" s="2">
        <v>1</v>
      </c>
      <c r="O65" s="2" t="s">
        <v>25</v>
      </c>
      <c r="P65" t="s">
        <v>39</v>
      </c>
      <c r="Q65" s="2" t="s">
        <v>46</v>
      </c>
      <c r="R65" s="2"/>
      <c r="S65" s="14">
        <v>7637</v>
      </c>
      <c r="T65" s="2">
        <v>7</v>
      </c>
      <c r="U65" s="2" t="s">
        <v>26</v>
      </c>
      <c r="V65" s="2">
        <v>3</v>
      </c>
      <c r="W65" s="2">
        <v>28</v>
      </c>
      <c r="X65" s="2">
        <v>3</v>
      </c>
      <c r="Y65" s="2">
        <v>2</v>
      </c>
      <c r="Z65" s="2">
        <v>21</v>
      </c>
      <c r="AA65" s="2">
        <v>16</v>
      </c>
      <c r="AB65" s="2">
        <v>7</v>
      </c>
      <c r="AC65" s="2">
        <v>9</v>
      </c>
      <c r="AD65" s="2">
        <f>IF(Table1[[#This Row],[Salary]]&lt;10000,2,0)</f>
        <v>2</v>
      </c>
      <c r="AE65" s="2">
        <f>IF(AND(Table1[[#This Row],[Tenure]]&gt;=2,Table1[[#This Row],[Tenure]]&lt;=4),2,0)</f>
        <v>0</v>
      </c>
      <c r="AF65" s="2">
        <f>IF(Table1[[#This Row],[PerformanceRating]]&lt;=2,3,0)</f>
        <v>0</v>
      </c>
      <c r="AG65" s="2">
        <f>IF(Table1[[#This Row],[OverTime]]="Yes",2,0)</f>
        <v>0</v>
      </c>
      <c r="AH65" s="2">
        <f>Table1[[#This Row],[Risk_Salary]]+Table1[[#This Row],[Risk_Tenure]]+Table1[[#This Row],[Risk_Performance]]+Table1[[#This Row],[Risk_Overtime]]</f>
        <v>2</v>
      </c>
      <c r="AI65" s="2" t="str">
        <f>IF(Table1[[#This Row],[Total_Risk_Score]]&gt;=6,"High",IF(Table1[[#This Row],[Total_Risk_Score]]&gt;=3,"Medium","Low"))</f>
        <v>Low</v>
      </c>
    </row>
    <row r="66" spans="1:35" x14ac:dyDescent="0.35">
      <c r="A66" t="s">
        <v>122</v>
      </c>
      <c r="B66" s="2">
        <v>36</v>
      </c>
      <c r="C66" s="2" t="s">
        <v>26</v>
      </c>
      <c r="D66" s="2" t="s">
        <v>22</v>
      </c>
      <c r="E66" s="2" t="s">
        <v>40</v>
      </c>
      <c r="F66" s="2">
        <v>8</v>
      </c>
      <c r="G66" s="2">
        <v>3</v>
      </c>
      <c r="H66" s="2" t="s">
        <v>35</v>
      </c>
      <c r="I66" s="2">
        <v>3</v>
      </c>
      <c r="J66" s="2" t="s">
        <v>24</v>
      </c>
      <c r="K66" s="2">
        <v>3</v>
      </c>
      <c r="L66" s="2">
        <v>3</v>
      </c>
      <c r="M66" s="2" t="s">
        <v>53</v>
      </c>
      <c r="N66" s="2">
        <v>3</v>
      </c>
      <c r="O66" s="2" t="s">
        <v>32</v>
      </c>
      <c r="P66" t="s">
        <v>49</v>
      </c>
      <c r="Q66" s="2" t="s">
        <v>48</v>
      </c>
      <c r="R66" s="2"/>
      <c r="S66" s="14">
        <v>10096</v>
      </c>
      <c r="T66" s="2">
        <v>1</v>
      </c>
      <c r="U66" s="2" t="s">
        <v>26</v>
      </c>
      <c r="V66" s="2">
        <v>3</v>
      </c>
      <c r="W66" s="2">
        <v>17</v>
      </c>
      <c r="X66" s="2">
        <v>2</v>
      </c>
      <c r="Y66" s="2">
        <v>3</v>
      </c>
      <c r="Z66" s="2">
        <v>17</v>
      </c>
      <c r="AA66" s="2">
        <v>14</v>
      </c>
      <c r="AB66" s="2">
        <v>12</v>
      </c>
      <c r="AC66" s="2">
        <v>8</v>
      </c>
      <c r="AD66" s="2">
        <f>IF(Table1[[#This Row],[Salary]]&lt;10000,2,0)</f>
        <v>0</v>
      </c>
      <c r="AE66" s="2">
        <f>IF(AND(Table1[[#This Row],[Tenure]]&gt;=2,Table1[[#This Row],[Tenure]]&lt;=4),2,0)</f>
        <v>0</v>
      </c>
      <c r="AF66" s="2">
        <f>IF(Table1[[#This Row],[PerformanceRating]]&lt;=2,3,0)</f>
        <v>0</v>
      </c>
      <c r="AG66" s="2">
        <f>IF(Table1[[#This Row],[OverTime]]="Yes",2,0)</f>
        <v>0</v>
      </c>
      <c r="AH66" s="2">
        <f>Table1[[#This Row],[Risk_Salary]]+Table1[[#This Row],[Risk_Tenure]]+Table1[[#This Row],[Risk_Performance]]+Table1[[#This Row],[Risk_Overtime]]</f>
        <v>0</v>
      </c>
      <c r="AI66" s="2" t="str">
        <f>IF(Table1[[#This Row],[Total_Risk_Score]]&gt;=6,"High",IF(Table1[[#This Row],[Total_Risk_Score]]&gt;=3,"Medium","Low"))</f>
        <v>Low</v>
      </c>
    </row>
    <row r="67" spans="1:35" x14ac:dyDescent="0.35">
      <c r="A67" t="s">
        <v>123</v>
      </c>
      <c r="B67" s="2">
        <v>55</v>
      </c>
      <c r="C67" s="2" t="s">
        <v>26</v>
      </c>
      <c r="D67" s="2" t="s">
        <v>22</v>
      </c>
      <c r="E67" s="2" t="s">
        <v>40</v>
      </c>
      <c r="F67" s="2">
        <v>8</v>
      </c>
      <c r="G67" s="2">
        <v>3</v>
      </c>
      <c r="H67" s="2" t="s">
        <v>31</v>
      </c>
      <c r="I67" s="2">
        <v>4</v>
      </c>
      <c r="J67" s="2" t="s">
        <v>24</v>
      </c>
      <c r="K67" s="2">
        <v>3</v>
      </c>
      <c r="L67" s="2">
        <v>4</v>
      </c>
      <c r="M67" s="2" t="s">
        <v>51</v>
      </c>
      <c r="N67" s="2">
        <v>3</v>
      </c>
      <c r="O67" s="2" t="s">
        <v>32</v>
      </c>
      <c r="P67" t="s">
        <v>49</v>
      </c>
      <c r="Q67" s="2" t="s">
        <v>47</v>
      </c>
      <c r="R67" s="2"/>
      <c r="S67" s="14">
        <v>14756</v>
      </c>
      <c r="T67" s="2">
        <v>2</v>
      </c>
      <c r="U67" s="2" t="s">
        <v>21</v>
      </c>
      <c r="V67" s="2">
        <v>3</v>
      </c>
      <c r="W67" s="2">
        <v>21</v>
      </c>
      <c r="X67" s="2">
        <v>2</v>
      </c>
      <c r="Y67" s="2">
        <v>3</v>
      </c>
      <c r="Z67" s="2">
        <v>5</v>
      </c>
      <c r="AA67" s="2">
        <v>0</v>
      </c>
      <c r="AB67" s="2">
        <v>0</v>
      </c>
      <c r="AC67" s="2">
        <v>2</v>
      </c>
      <c r="AD67" s="2">
        <f>IF(Table1[[#This Row],[Salary]]&lt;10000,2,0)</f>
        <v>0</v>
      </c>
      <c r="AE67" s="2">
        <f>IF(AND(Table1[[#This Row],[Tenure]]&gt;=2,Table1[[#This Row],[Tenure]]&lt;=4),2,0)</f>
        <v>0</v>
      </c>
      <c r="AF67" s="2">
        <f>IF(Table1[[#This Row],[PerformanceRating]]&lt;=2,3,0)</f>
        <v>0</v>
      </c>
      <c r="AG67" s="2">
        <f>IF(Table1[[#This Row],[OverTime]]="Yes",2,0)</f>
        <v>2</v>
      </c>
      <c r="AH67" s="2">
        <f>Table1[[#This Row],[Risk_Salary]]+Table1[[#This Row],[Risk_Tenure]]+Table1[[#This Row],[Risk_Performance]]+Table1[[#This Row],[Risk_Overtime]]</f>
        <v>2</v>
      </c>
      <c r="AI67" s="2" t="str">
        <f>IF(Table1[[#This Row],[Total_Risk_Score]]&gt;=6,"High",IF(Table1[[#This Row],[Total_Risk_Score]]&gt;=3,"Medium","Low"))</f>
        <v>Low</v>
      </c>
    </row>
    <row r="68" spans="1:35" x14ac:dyDescent="0.35">
      <c r="A68" t="s">
        <v>124</v>
      </c>
      <c r="B68" s="2">
        <v>36</v>
      </c>
      <c r="C68" s="2" t="s">
        <v>26</v>
      </c>
      <c r="D68" s="2" t="s">
        <v>27</v>
      </c>
      <c r="E68" s="2" t="s">
        <v>40</v>
      </c>
      <c r="F68" s="2">
        <v>11</v>
      </c>
      <c r="G68" s="2">
        <v>3</v>
      </c>
      <c r="H68" s="2" t="s">
        <v>23</v>
      </c>
      <c r="I68" s="2">
        <v>2</v>
      </c>
      <c r="J68" s="2" t="s">
        <v>28</v>
      </c>
      <c r="K68" s="2">
        <v>2</v>
      </c>
      <c r="L68" s="2">
        <v>2</v>
      </c>
      <c r="M68" s="2" t="s">
        <v>53</v>
      </c>
      <c r="N68" s="2">
        <v>2</v>
      </c>
      <c r="O68" s="2" t="s">
        <v>25</v>
      </c>
      <c r="P68" t="s">
        <v>40</v>
      </c>
      <c r="Q68" s="2" t="s">
        <v>46</v>
      </c>
      <c r="R68" s="2"/>
      <c r="S68" s="14">
        <v>6499</v>
      </c>
      <c r="T68" s="2">
        <v>1</v>
      </c>
      <c r="U68" s="2" t="s">
        <v>26</v>
      </c>
      <c r="V68" s="2">
        <v>3</v>
      </c>
      <c r="W68" s="2">
        <v>6</v>
      </c>
      <c r="X68" s="2">
        <v>3</v>
      </c>
      <c r="Y68" s="2">
        <v>3</v>
      </c>
      <c r="Z68" s="2">
        <v>6</v>
      </c>
      <c r="AA68" s="2">
        <v>5</v>
      </c>
      <c r="AB68" s="2">
        <v>0</v>
      </c>
      <c r="AC68" s="2">
        <v>3</v>
      </c>
      <c r="AD68" s="2">
        <f>IF(Table1[[#This Row],[Salary]]&lt;10000,2,0)</f>
        <v>2</v>
      </c>
      <c r="AE68" s="2">
        <f>IF(AND(Table1[[#This Row],[Tenure]]&gt;=2,Table1[[#This Row],[Tenure]]&lt;=4),2,0)</f>
        <v>0</v>
      </c>
      <c r="AF68" s="2">
        <f>IF(Table1[[#This Row],[PerformanceRating]]&lt;=2,3,0)</f>
        <v>0</v>
      </c>
      <c r="AG68" s="2">
        <f>IF(Table1[[#This Row],[OverTime]]="Yes",2,0)</f>
        <v>0</v>
      </c>
      <c r="AH68" s="2">
        <f>Table1[[#This Row],[Risk_Salary]]+Table1[[#This Row],[Risk_Tenure]]+Table1[[#This Row],[Risk_Performance]]+Table1[[#This Row],[Risk_Overtime]]</f>
        <v>2</v>
      </c>
      <c r="AI68" s="2" t="str">
        <f>IF(Table1[[#This Row],[Total_Risk_Score]]&gt;=6,"High",IF(Table1[[#This Row],[Total_Risk_Score]]&gt;=3,"Medium","Low"))</f>
        <v>Low</v>
      </c>
    </row>
    <row r="69" spans="1:35" x14ac:dyDescent="0.35">
      <c r="A69" t="s">
        <v>125</v>
      </c>
      <c r="B69" s="2">
        <v>45</v>
      </c>
      <c r="C69" s="2" t="s">
        <v>26</v>
      </c>
      <c r="D69" s="2" t="s">
        <v>22</v>
      </c>
      <c r="E69" s="2" t="s">
        <v>40</v>
      </c>
      <c r="F69" s="2">
        <v>7</v>
      </c>
      <c r="G69" s="2">
        <v>3</v>
      </c>
      <c r="H69" s="2" t="s">
        <v>23</v>
      </c>
      <c r="I69" s="2">
        <v>2</v>
      </c>
      <c r="J69" s="2" t="s">
        <v>28</v>
      </c>
      <c r="K69" s="2">
        <v>3</v>
      </c>
      <c r="L69" s="2">
        <v>3</v>
      </c>
      <c r="M69" s="2" t="s">
        <v>50</v>
      </c>
      <c r="N69" s="2">
        <v>1</v>
      </c>
      <c r="O69" s="2" t="s">
        <v>32</v>
      </c>
      <c r="P69" t="s">
        <v>40</v>
      </c>
      <c r="Q69" s="2" t="s">
        <v>48</v>
      </c>
      <c r="R69" s="2"/>
      <c r="S69" s="14">
        <v>9724</v>
      </c>
      <c r="T69" s="2">
        <v>2</v>
      </c>
      <c r="U69" s="2" t="s">
        <v>26</v>
      </c>
      <c r="V69" s="2">
        <v>3</v>
      </c>
      <c r="W69" s="2">
        <v>25</v>
      </c>
      <c r="X69" s="2">
        <v>2</v>
      </c>
      <c r="Y69" s="2">
        <v>3</v>
      </c>
      <c r="Z69" s="2">
        <v>1</v>
      </c>
      <c r="AA69" s="2">
        <v>0</v>
      </c>
      <c r="AB69" s="2">
        <v>0</v>
      </c>
      <c r="AC69" s="2">
        <v>0</v>
      </c>
      <c r="AD69" s="2">
        <f>IF(Table1[[#This Row],[Salary]]&lt;10000,2,0)</f>
        <v>2</v>
      </c>
      <c r="AE69" s="2">
        <f>IF(AND(Table1[[#This Row],[Tenure]]&gt;=2,Table1[[#This Row],[Tenure]]&lt;=4),2,0)</f>
        <v>0</v>
      </c>
      <c r="AF69" s="2">
        <f>IF(Table1[[#This Row],[PerformanceRating]]&lt;=2,3,0)</f>
        <v>0</v>
      </c>
      <c r="AG69" s="2">
        <f>IF(Table1[[#This Row],[OverTime]]="Yes",2,0)</f>
        <v>0</v>
      </c>
      <c r="AH69" s="2">
        <f>Table1[[#This Row],[Risk_Salary]]+Table1[[#This Row],[Risk_Tenure]]+Table1[[#This Row],[Risk_Performance]]+Table1[[#This Row],[Risk_Overtime]]</f>
        <v>2</v>
      </c>
      <c r="AI69" s="2" t="str">
        <f>IF(Table1[[#This Row],[Total_Risk_Score]]&gt;=6,"High",IF(Table1[[#This Row],[Total_Risk_Score]]&gt;=3,"Medium","Low"))</f>
        <v>Low</v>
      </c>
    </row>
    <row r="70" spans="1:35" x14ac:dyDescent="0.35">
      <c r="A70" t="s">
        <v>126</v>
      </c>
      <c r="B70" s="2">
        <v>35</v>
      </c>
      <c r="C70" s="2" t="s">
        <v>26</v>
      </c>
      <c r="D70" s="2" t="s">
        <v>27</v>
      </c>
      <c r="E70" s="2" t="s">
        <v>40</v>
      </c>
      <c r="F70" s="2">
        <v>1</v>
      </c>
      <c r="G70" s="2">
        <v>3</v>
      </c>
      <c r="H70" s="2" t="s">
        <v>31</v>
      </c>
      <c r="I70" s="2">
        <v>2</v>
      </c>
      <c r="J70" s="2" t="s">
        <v>28</v>
      </c>
      <c r="K70" s="2">
        <v>3</v>
      </c>
      <c r="L70" s="2">
        <v>1</v>
      </c>
      <c r="M70" s="2" t="s">
        <v>50</v>
      </c>
      <c r="N70" s="2">
        <v>1</v>
      </c>
      <c r="O70" s="2" t="s">
        <v>29</v>
      </c>
      <c r="P70" t="s">
        <v>39</v>
      </c>
      <c r="Q70" s="2" t="s">
        <v>47</v>
      </c>
      <c r="R70" s="2"/>
      <c r="S70" s="14">
        <v>2194</v>
      </c>
      <c r="T70" s="2">
        <v>4</v>
      </c>
      <c r="U70" s="2" t="s">
        <v>26</v>
      </c>
      <c r="V70" s="2">
        <v>3</v>
      </c>
      <c r="W70" s="2">
        <v>5</v>
      </c>
      <c r="X70" s="2">
        <v>2</v>
      </c>
      <c r="Y70" s="2">
        <v>2</v>
      </c>
      <c r="Z70" s="2">
        <v>3</v>
      </c>
      <c r="AA70" s="2">
        <v>2</v>
      </c>
      <c r="AB70" s="2">
        <v>1</v>
      </c>
      <c r="AC70" s="2">
        <v>2</v>
      </c>
      <c r="AD70" s="2">
        <f>IF(Table1[[#This Row],[Salary]]&lt;10000,2,0)</f>
        <v>2</v>
      </c>
      <c r="AE70" s="2">
        <f>IF(AND(Table1[[#This Row],[Tenure]]&gt;=2,Table1[[#This Row],[Tenure]]&lt;=4),2,0)</f>
        <v>2</v>
      </c>
      <c r="AF70" s="2">
        <f>IF(Table1[[#This Row],[PerformanceRating]]&lt;=2,3,0)</f>
        <v>0</v>
      </c>
      <c r="AG70" s="2">
        <f>IF(Table1[[#This Row],[OverTime]]="Yes",2,0)</f>
        <v>0</v>
      </c>
      <c r="AH70" s="2">
        <f>Table1[[#This Row],[Risk_Salary]]+Table1[[#This Row],[Risk_Tenure]]+Table1[[#This Row],[Risk_Performance]]+Table1[[#This Row],[Risk_Overtime]]</f>
        <v>4</v>
      </c>
      <c r="AI70" s="2" t="str">
        <f>IF(Table1[[#This Row],[Total_Risk_Score]]&gt;=6,"High",IF(Table1[[#This Row],[Total_Risk_Score]]&gt;=3,"Medium","Low"))</f>
        <v>Medium</v>
      </c>
    </row>
    <row r="71" spans="1:35" x14ac:dyDescent="0.35">
      <c r="A71" t="s">
        <v>127</v>
      </c>
      <c r="B71" s="2">
        <v>36</v>
      </c>
      <c r="C71" s="2" t="s">
        <v>21</v>
      </c>
      <c r="D71" s="2" t="s">
        <v>22</v>
      </c>
      <c r="E71" s="2" t="s">
        <v>40</v>
      </c>
      <c r="F71" s="2">
        <v>9</v>
      </c>
      <c r="G71" s="2">
        <v>3</v>
      </c>
      <c r="H71" s="2" t="s">
        <v>31</v>
      </c>
      <c r="I71" s="2">
        <v>4</v>
      </c>
      <c r="J71" s="2" t="s">
        <v>28</v>
      </c>
      <c r="K71" s="2">
        <v>2</v>
      </c>
      <c r="L71" s="2">
        <v>1</v>
      </c>
      <c r="M71" s="2" t="s">
        <v>50</v>
      </c>
      <c r="N71" s="2">
        <v>3</v>
      </c>
      <c r="O71" s="2" t="s">
        <v>29</v>
      </c>
      <c r="P71" t="s">
        <v>39</v>
      </c>
      <c r="Q71" s="2" t="s">
        <v>47</v>
      </c>
      <c r="R71" s="2"/>
      <c r="S71" s="14">
        <v>3388</v>
      </c>
      <c r="T71" s="2">
        <v>0</v>
      </c>
      <c r="U71" s="2" t="s">
        <v>21</v>
      </c>
      <c r="V71" s="2">
        <v>1</v>
      </c>
      <c r="W71" s="2">
        <v>2</v>
      </c>
      <c r="X71" s="2">
        <v>0</v>
      </c>
      <c r="Y71" s="2">
        <v>2</v>
      </c>
      <c r="Z71" s="2">
        <v>1</v>
      </c>
      <c r="AA71" s="2">
        <v>0</v>
      </c>
      <c r="AB71" s="2">
        <v>0</v>
      </c>
      <c r="AC71" s="2">
        <v>0</v>
      </c>
      <c r="AD71" s="2">
        <f>IF(Table1[[#This Row],[Salary]]&lt;10000,2,0)</f>
        <v>2</v>
      </c>
      <c r="AE71" s="2">
        <f>IF(AND(Table1[[#This Row],[Tenure]]&gt;=2,Table1[[#This Row],[Tenure]]&lt;=4),2,0)</f>
        <v>0</v>
      </c>
      <c r="AF71" s="2">
        <f>IF(Table1[[#This Row],[PerformanceRating]]&lt;=2,3,0)</f>
        <v>3</v>
      </c>
      <c r="AG71" s="2">
        <f>IF(Table1[[#This Row],[OverTime]]="Yes",2,0)</f>
        <v>2</v>
      </c>
      <c r="AH71" s="2">
        <f>Table1[[#This Row],[Risk_Salary]]+Table1[[#This Row],[Risk_Tenure]]+Table1[[#This Row],[Risk_Performance]]+Table1[[#This Row],[Risk_Overtime]]</f>
        <v>7</v>
      </c>
      <c r="AI71" s="2" t="str">
        <f>IF(Table1[[#This Row],[Total_Risk_Score]]&gt;=6,"High",IF(Table1[[#This Row],[Total_Risk_Score]]&gt;=3,"Medium","Low"))</f>
        <v>High</v>
      </c>
    </row>
    <row r="72" spans="1:35" x14ac:dyDescent="0.35">
      <c r="A72" t="s">
        <v>128</v>
      </c>
      <c r="B72" s="2">
        <v>59</v>
      </c>
      <c r="C72" s="2" t="s">
        <v>26</v>
      </c>
      <c r="D72" s="2" t="s">
        <v>27</v>
      </c>
      <c r="E72" s="2" t="s">
        <v>39</v>
      </c>
      <c r="F72" s="2">
        <v>1</v>
      </c>
      <c r="G72" s="2">
        <v>1</v>
      </c>
      <c r="H72" s="2" t="s">
        <v>23</v>
      </c>
      <c r="I72" s="2">
        <v>1</v>
      </c>
      <c r="J72" s="2" t="s">
        <v>24</v>
      </c>
      <c r="K72" s="2">
        <v>2</v>
      </c>
      <c r="L72" s="2">
        <v>2</v>
      </c>
      <c r="M72" s="2" t="s">
        <v>50</v>
      </c>
      <c r="N72" s="2">
        <v>3</v>
      </c>
      <c r="O72" s="2" t="s">
        <v>25</v>
      </c>
      <c r="P72" t="s">
        <v>40</v>
      </c>
      <c r="Q72" s="2" t="s">
        <v>48</v>
      </c>
      <c r="R72" s="2"/>
      <c r="S72" s="14">
        <v>5473</v>
      </c>
      <c r="T72" s="2">
        <v>7</v>
      </c>
      <c r="U72" s="2" t="s">
        <v>26</v>
      </c>
      <c r="V72" s="2">
        <v>3</v>
      </c>
      <c r="W72" s="2">
        <v>20</v>
      </c>
      <c r="X72" s="2">
        <v>2</v>
      </c>
      <c r="Y72" s="2">
        <v>2</v>
      </c>
      <c r="Z72" s="2">
        <v>4</v>
      </c>
      <c r="AA72" s="2">
        <v>3</v>
      </c>
      <c r="AB72" s="2">
        <v>1</v>
      </c>
      <c r="AC72" s="2">
        <v>3</v>
      </c>
      <c r="AD72" s="2">
        <f>IF(Table1[[#This Row],[Salary]]&lt;10000,2,0)</f>
        <v>2</v>
      </c>
      <c r="AE72" s="2">
        <f>IF(AND(Table1[[#This Row],[Tenure]]&gt;=2,Table1[[#This Row],[Tenure]]&lt;=4),2,0)</f>
        <v>2</v>
      </c>
      <c r="AF72" s="2">
        <f>IF(Table1[[#This Row],[PerformanceRating]]&lt;=2,3,0)</f>
        <v>0</v>
      </c>
      <c r="AG72" s="2">
        <f>IF(Table1[[#This Row],[OverTime]]="Yes",2,0)</f>
        <v>0</v>
      </c>
      <c r="AH72" s="2">
        <f>Table1[[#This Row],[Risk_Salary]]+Table1[[#This Row],[Risk_Tenure]]+Table1[[#This Row],[Risk_Performance]]+Table1[[#This Row],[Risk_Overtime]]</f>
        <v>4</v>
      </c>
      <c r="AI72" s="2" t="str">
        <f>IF(Table1[[#This Row],[Total_Risk_Score]]&gt;=6,"High",IF(Table1[[#This Row],[Total_Risk_Score]]&gt;=3,"Medium","Low"))</f>
        <v>Medium</v>
      </c>
    </row>
    <row r="73" spans="1:35" x14ac:dyDescent="0.35">
      <c r="A73" t="s">
        <v>129</v>
      </c>
      <c r="B73" s="2">
        <v>29</v>
      </c>
      <c r="C73" s="2" t="s">
        <v>26</v>
      </c>
      <c r="D73" s="2" t="s">
        <v>22</v>
      </c>
      <c r="E73" s="2" t="s">
        <v>40</v>
      </c>
      <c r="F73" s="2">
        <v>2</v>
      </c>
      <c r="G73" s="2">
        <v>3</v>
      </c>
      <c r="H73" s="2" t="s">
        <v>23</v>
      </c>
      <c r="I73" s="2">
        <v>3</v>
      </c>
      <c r="J73" s="2" t="s">
        <v>28</v>
      </c>
      <c r="K73" s="2">
        <v>3</v>
      </c>
      <c r="L73" s="2">
        <v>1</v>
      </c>
      <c r="M73" s="2" t="s">
        <v>50</v>
      </c>
      <c r="N73" s="2">
        <v>2</v>
      </c>
      <c r="O73" s="2" t="s">
        <v>29</v>
      </c>
      <c r="P73" t="s">
        <v>49</v>
      </c>
      <c r="Q73" s="2" t="s">
        <v>45</v>
      </c>
      <c r="R73" s="2"/>
      <c r="S73" s="14">
        <v>2703</v>
      </c>
      <c r="T73" s="2">
        <v>0</v>
      </c>
      <c r="U73" s="2" t="s">
        <v>26</v>
      </c>
      <c r="V73" s="2">
        <v>4</v>
      </c>
      <c r="W73" s="2">
        <v>6</v>
      </c>
      <c r="X73" s="2">
        <v>3</v>
      </c>
      <c r="Y73" s="2">
        <v>3</v>
      </c>
      <c r="Z73" s="2">
        <v>5</v>
      </c>
      <c r="AA73" s="2">
        <v>4</v>
      </c>
      <c r="AB73" s="2">
        <v>0</v>
      </c>
      <c r="AC73" s="2">
        <v>4</v>
      </c>
      <c r="AD73" s="2">
        <f>IF(Table1[[#This Row],[Salary]]&lt;10000,2,0)</f>
        <v>2</v>
      </c>
      <c r="AE73" s="2">
        <f>IF(AND(Table1[[#This Row],[Tenure]]&gt;=2,Table1[[#This Row],[Tenure]]&lt;=4),2,0)</f>
        <v>0</v>
      </c>
      <c r="AF73" s="2">
        <f>IF(Table1[[#This Row],[PerformanceRating]]&lt;=2,3,0)</f>
        <v>0</v>
      </c>
      <c r="AG73" s="2">
        <f>IF(Table1[[#This Row],[OverTime]]="Yes",2,0)</f>
        <v>0</v>
      </c>
      <c r="AH73" s="2">
        <f>Table1[[#This Row],[Risk_Salary]]+Table1[[#This Row],[Risk_Tenure]]+Table1[[#This Row],[Risk_Performance]]+Table1[[#This Row],[Risk_Overtime]]</f>
        <v>2</v>
      </c>
      <c r="AI73" s="2" t="str">
        <f>IF(Table1[[#This Row],[Total_Risk_Score]]&gt;=6,"High",IF(Table1[[#This Row],[Total_Risk_Score]]&gt;=3,"Medium","Low"))</f>
        <v>Low</v>
      </c>
    </row>
    <row r="74" spans="1:35" x14ac:dyDescent="0.35">
      <c r="A74" t="s">
        <v>130</v>
      </c>
      <c r="B74" s="2">
        <v>31</v>
      </c>
      <c r="C74" s="2" t="s">
        <v>26</v>
      </c>
      <c r="D74" s="2" t="s">
        <v>22</v>
      </c>
      <c r="E74" s="2" t="s">
        <v>40</v>
      </c>
      <c r="F74" s="2">
        <v>1</v>
      </c>
      <c r="G74" s="2">
        <v>4</v>
      </c>
      <c r="H74" s="2" t="s">
        <v>31</v>
      </c>
      <c r="I74" s="2">
        <v>3</v>
      </c>
      <c r="J74" s="2" t="s">
        <v>28</v>
      </c>
      <c r="K74" s="2">
        <v>3</v>
      </c>
      <c r="L74" s="2">
        <v>1</v>
      </c>
      <c r="M74" s="2" t="s">
        <v>50</v>
      </c>
      <c r="N74" s="2">
        <v>2</v>
      </c>
      <c r="O74" s="2" t="s">
        <v>25</v>
      </c>
      <c r="P74" t="s">
        <v>39</v>
      </c>
      <c r="Q74" s="2" t="s">
        <v>47</v>
      </c>
      <c r="R74" s="2"/>
      <c r="S74" s="14">
        <v>2501</v>
      </c>
      <c r="T74" s="2">
        <v>1</v>
      </c>
      <c r="U74" s="2" t="s">
        <v>26</v>
      </c>
      <c r="V74" s="2">
        <v>3</v>
      </c>
      <c r="W74" s="2">
        <v>1</v>
      </c>
      <c r="X74" s="2">
        <v>4</v>
      </c>
      <c r="Y74" s="2">
        <v>3</v>
      </c>
      <c r="Z74" s="2">
        <v>1</v>
      </c>
      <c r="AA74" s="2">
        <v>1</v>
      </c>
      <c r="AB74" s="2">
        <v>1</v>
      </c>
      <c r="AC74" s="2">
        <v>0</v>
      </c>
      <c r="AD74" s="2">
        <f>IF(Table1[[#This Row],[Salary]]&lt;10000,2,0)</f>
        <v>2</v>
      </c>
      <c r="AE74" s="2">
        <f>IF(AND(Table1[[#This Row],[Tenure]]&gt;=2,Table1[[#This Row],[Tenure]]&lt;=4),2,0)</f>
        <v>0</v>
      </c>
      <c r="AF74" s="2">
        <f>IF(Table1[[#This Row],[PerformanceRating]]&lt;=2,3,0)</f>
        <v>0</v>
      </c>
      <c r="AG74" s="2">
        <f>IF(Table1[[#This Row],[OverTime]]="Yes",2,0)</f>
        <v>0</v>
      </c>
      <c r="AH74" s="2">
        <f>Table1[[#This Row],[Risk_Salary]]+Table1[[#This Row],[Risk_Tenure]]+Table1[[#This Row],[Risk_Performance]]+Table1[[#This Row],[Risk_Overtime]]</f>
        <v>2</v>
      </c>
      <c r="AI74" s="2" t="str">
        <f>IF(Table1[[#This Row],[Total_Risk_Score]]&gt;=6,"High",IF(Table1[[#This Row],[Total_Risk_Score]]&gt;=3,"Medium","Low"))</f>
        <v>Low</v>
      </c>
    </row>
    <row r="75" spans="1:35" x14ac:dyDescent="0.35">
      <c r="A75" t="s">
        <v>131</v>
      </c>
      <c r="B75" s="2">
        <v>32</v>
      </c>
      <c r="C75" s="2" t="s">
        <v>26</v>
      </c>
      <c r="D75" s="2" t="s">
        <v>22</v>
      </c>
      <c r="E75" s="2" t="s">
        <v>40</v>
      </c>
      <c r="F75" s="2">
        <v>1</v>
      </c>
      <c r="G75" s="2">
        <v>3</v>
      </c>
      <c r="H75" s="2" t="s">
        <v>23</v>
      </c>
      <c r="I75" s="2">
        <v>2</v>
      </c>
      <c r="J75" s="2" t="s">
        <v>28</v>
      </c>
      <c r="K75" s="2">
        <v>3</v>
      </c>
      <c r="L75" s="2">
        <v>2</v>
      </c>
      <c r="M75" s="2" t="s">
        <v>50</v>
      </c>
      <c r="N75" s="2">
        <v>2</v>
      </c>
      <c r="O75" s="2" t="s">
        <v>29</v>
      </c>
      <c r="P75" t="s">
        <v>39</v>
      </c>
      <c r="Q75" s="2" t="s">
        <v>46</v>
      </c>
      <c r="R75" s="2"/>
      <c r="S75" s="14">
        <v>6220</v>
      </c>
      <c r="T75" s="2">
        <v>1</v>
      </c>
      <c r="U75" s="2" t="s">
        <v>26</v>
      </c>
      <c r="V75" s="2">
        <v>3</v>
      </c>
      <c r="W75" s="2">
        <v>10</v>
      </c>
      <c r="X75" s="2">
        <v>3</v>
      </c>
      <c r="Y75" s="2">
        <v>3</v>
      </c>
      <c r="Z75" s="2">
        <v>10</v>
      </c>
      <c r="AA75" s="2">
        <v>4</v>
      </c>
      <c r="AB75" s="2">
        <v>0</v>
      </c>
      <c r="AC75" s="2">
        <v>9</v>
      </c>
      <c r="AD75" s="2">
        <f>IF(Table1[[#This Row],[Salary]]&lt;10000,2,0)</f>
        <v>2</v>
      </c>
      <c r="AE75" s="2">
        <f>IF(AND(Table1[[#This Row],[Tenure]]&gt;=2,Table1[[#This Row],[Tenure]]&lt;=4),2,0)</f>
        <v>0</v>
      </c>
      <c r="AF75" s="2">
        <f>IF(Table1[[#This Row],[PerformanceRating]]&lt;=2,3,0)</f>
        <v>0</v>
      </c>
      <c r="AG75" s="2">
        <f>IF(Table1[[#This Row],[OverTime]]="Yes",2,0)</f>
        <v>0</v>
      </c>
      <c r="AH75" s="2">
        <f>Table1[[#This Row],[Risk_Salary]]+Table1[[#This Row],[Risk_Tenure]]+Table1[[#This Row],[Risk_Performance]]+Table1[[#This Row],[Risk_Overtime]]</f>
        <v>2</v>
      </c>
      <c r="AI75" s="2" t="str">
        <f>IF(Table1[[#This Row],[Total_Risk_Score]]&gt;=6,"High",IF(Table1[[#This Row],[Total_Risk_Score]]&gt;=3,"Medium","Low"))</f>
        <v>Low</v>
      </c>
    </row>
    <row r="76" spans="1:35" x14ac:dyDescent="0.35">
      <c r="A76" t="s">
        <v>132</v>
      </c>
      <c r="B76" s="2">
        <v>36</v>
      </c>
      <c r="C76" s="2" t="s">
        <v>26</v>
      </c>
      <c r="D76" s="2" t="s">
        <v>22</v>
      </c>
      <c r="E76" s="2" t="s">
        <v>40</v>
      </c>
      <c r="F76" s="2">
        <v>6</v>
      </c>
      <c r="G76" s="2">
        <v>3</v>
      </c>
      <c r="H76" s="2" t="s">
        <v>23</v>
      </c>
      <c r="I76" s="2">
        <v>2</v>
      </c>
      <c r="J76" s="2" t="s">
        <v>24</v>
      </c>
      <c r="K76" s="2">
        <v>4</v>
      </c>
      <c r="L76" s="2">
        <v>1</v>
      </c>
      <c r="M76" s="2" t="s">
        <v>50</v>
      </c>
      <c r="N76" s="2">
        <v>4</v>
      </c>
      <c r="O76" s="2" t="s">
        <v>29</v>
      </c>
      <c r="P76" t="s">
        <v>49</v>
      </c>
      <c r="Q76" s="2" t="s">
        <v>45</v>
      </c>
      <c r="R76" s="2"/>
      <c r="S76" s="14">
        <v>3038</v>
      </c>
      <c r="T76" s="2">
        <v>3</v>
      </c>
      <c r="U76" s="2" t="s">
        <v>26</v>
      </c>
      <c r="V76" s="2">
        <v>3</v>
      </c>
      <c r="W76" s="2">
        <v>5</v>
      </c>
      <c r="X76" s="2">
        <v>3</v>
      </c>
      <c r="Y76" s="2">
        <v>3</v>
      </c>
      <c r="Z76" s="2">
        <v>1</v>
      </c>
      <c r="AA76" s="2">
        <v>0</v>
      </c>
      <c r="AB76" s="2">
        <v>0</v>
      </c>
      <c r="AC76" s="2">
        <v>0</v>
      </c>
      <c r="AD76" s="2">
        <f>IF(Table1[[#This Row],[Salary]]&lt;10000,2,0)</f>
        <v>2</v>
      </c>
      <c r="AE76" s="2">
        <f>IF(AND(Table1[[#This Row],[Tenure]]&gt;=2,Table1[[#This Row],[Tenure]]&lt;=4),2,0)</f>
        <v>0</v>
      </c>
      <c r="AF76" s="2">
        <f>IF(Table1[[#This Row],[PerformanceRating]]&lt;=2,3,0)</f>
        <v>0</v>
      </c>
      <c r="AG76" s="2">
        <f>IF(Table1[[#This Row],[OverTime]]="Yes",2,0)</f>
        <v>0</v>
      </c>
      <c r="AH76" s="2">
        <f>Table1[[#This Row],[Risk_Salary]]+Table1[[#This Row],[Risk_Tenure]]+Table1[[#This Row],[Risk_Performance]]+Table1[[#This Row],[Risk_Overtime]]</f>
        <v>2</v>
      </c>
      <c r="AI76" s="2" t="str">
        <f>IF(Table1[[#This Row],[Total_Risk_Score]]&gt;=6,"High",IF(Table1[[#This Row],[Total_Risk_Score]]&gt;=3,"Medium","Low"))</f>
        <v>Low</v>
      </c>
    </row>
    <row r="77" spans="1:35" x14ac:dyDescent="0.35">
      <c r="A77" t="s">
        <v>133</v>
      </c>
      <c r="B77" s="2">
        <v>31</v>
      </c>
      <c r="C77" s="2" t="s">
        <v>26</v>
      </c>
      <c r="D77" s="2" t="s">
        <v>22</v>
      </c>
      <c r="E77" s="2" t="s">
        <v>40</v>
      </c>
      <c r="F77" s="2">
        <v>8</v>
      </c>
      <c r="G77" s="2">
        <v>4</v>
      </c>
      <c r="H77" s="2" t="s">
        <v>23</v>
      </c>
      <c r="I77" s="2">
        <v>3</v>
      </c>
      <c r="J77" s="2" t="s">
        <v>24</v>
      </c>
      <c r="K77" s="2">
        <v>3</v>
      </c>
      <c r="L77" s="2">
        <v>2</v>
      </c>
      <c r="M77" s="2" t="s">
        <v>53</v>
      </c>
      <c r="N77" s="2">
        <v>4</v>
      </c>
      <c r="O77" s="2" t="s">
        <v>25</v>
      </c>
      <c r="P77" t="s">
        <v>49</v>
      </c>
      <c r="Q77" s="2" t="s">
        <v>47</v>
      </c>
      <c r="R77" s="2"/>
      <c r="S77" s="14">
        <v>4424</v>
      </c>
      <c r="T77" s="2">
        <v>1</v>
      </c>
      <c r="U77" s="2" t="s">
        <v>26</v>
      </c>
      <c r="V77" s="2">
        <v>4</v>
      </c>
      <c r="W77" s="2">
        <v>11</v>
      </c>
      <c r="X77" s="2">
        <v>2</v>
      </c>
      <c r="Y77" s="2">
        <v>3</v>
      </c>
      <c r="Z77" s="2">
        <v>11</v>
      </c>
      <c r="AA77" s="2">
        <v>7</v>
      </c>
      <c r="AB77" s="2">
        <v>1</v>
      </c>
      <c r="AC77" s="2">
        <v>8</v>
      </c>
      <c r="AD77" s="2">
        <f>IF(Table1[[#This Row],[Salary]]&lt;10000,2,0)</f>
        <v>2</v>
      </c>
      <c r="AE77" s="2">
        <f>IF(AND(Table1[[#This Row],[Tenure]]&gt;=2,Table1[[#This Row],[Tenure]]&lt;=4),2,0)</f>
        <v>0</v>
      </c>
      <c r="AF77" s="2">
        <f>IF(Table1[[#This Row],[PerformanceRating]]&lt;=2,3,0)</f>
        <v>0</v>
      </c>
      <c r="AG77" s="2">
        <f>IF(Table1[[#This Row],[OverTime]]="Yes",2,0)</f>
        <v>0</v>
      </c>
      <c r="AH77" s="2">
        <f>Table1[[#This Row],[Risk_Salary]]+Table1[[#This Row],[Risk_Tenure]]+Table1[[#This Row],[Risk_Performance]]+Table1[[#This Row],[Risk_Overtime]]</f>
        <v>2</v>
      </c>
      <c r="AI77" s="2" t="str">
        <f>IF(Table1[[#This Row],[Total_Risk_Score]]&gt;=6,"High",IF(Table1[[#This Row],[Total_Risk_Score]]&gt;=3,"Medium","Low"))</f>
        <v>Low</v>
      </c>
    </row>
    <row r="78" spans="1:35" x14ac:dyDescent="0.35">
      <c r="A78" t="s">
        <v>134</v>
      </c>
      <c r="B78" s="2">
        <v>35</v>
      </c>
      <c r="C78" s="2" t="s">
        <v>26</v>
      </c>
      <c r="D78" s="2" t="s">
        <v>22</v>
      </c>
      <c r="E78" s="2" t="s">
        <v>39</v>
      </c>
      <c r="F78" s="2">
        <v>1</v>
      </c>
      <c r="G78" s="2">
        <v>4</v>
      </c>
      <c r="H78" s="2" t="s">
        <v>34</v>
      </c>
      <c r="I78" s="2">
        <v>3</v>
      </c>
      <c r="J78" s="2" t="s">
        <v>28</v>
      </c>
      <c r="K78" s="2">
        <v>2</v>
      </c>
      <c r="L78" s="2">
        <v>2</v>
      </c>
      <c r="M78" s="2" t="s">
        <v>50</v>
      </c>
      <c r="N78" s="2">
        <v>1</v>
      </c>
      <c r="O78" s="2" t="s">
        <v>25</v>
      </c>
      <c r="P78" t="s">
        <v>40</v>
      </c>
      <c r="Q78" s="2" t="s">
        <v>46</v>
      </c>
      <c r="R78" s="2"/>
      <c r="S78" s="14">
        <v>4312</v>
      </c>
      <c r="T78" s="2">
        <v>0</v>
      </c>
      <c r="U78" s="2" t="s">
        <v>26</v>
      </c>
      <c r="V78" s="2">
        <v>2</v>
      </c>
      <c r="W78" s="2">
        <v>16</v>
      </c>
      <c r="X78" s="2">
        <v>2</v>
      </c>
      <c r="Y78" s="2">
        <v>3</v>
      </c>
      <c r="Z78" s="2">
        <v>15</v>
      </c>
      <c r="AA78" s="2">
        <v>13</v>
      </c>
      <c r="AB78" s="2">
        <v>2</v>
      </c>
      <c r="AC78" s="2">
        <v>8</v>
      </c>
      <c r="AD78" s="2">
        <f>IF(Table1[[#This Row],[Salary]]&lt;10000,2,0)</f>
        <v>2</v>
      </c>
      <c r="AE78" s="2">
        <f>IF(AND(Table1[[#This Row],[Tenure]]&gt;=2,Table1[[#This Row],[Tenure]]&lt;=4),2,0)</f>
        <v>0</v>
      </c>
      <c r="AF78" s="2">
        <f>IF(Table1[[#This Row],[PerformanceRating]]&lt;=2,3,0)</f>
        <v>3</v>
      </c>
      <c r="AG78" s="2">
        <f>IF(Table1[[#This Row],[OverTime]]="Yes",2,0)</f>
        <v>0</v>
      </c>
      <c r="AH78" s="2">
        <f>Table1[[#This Row],[Risk_Salary]]+Table1[[#This Row],[Risk_Tenure]]+Table1[[#This Row],[Risk_Performance]]+Table1[[#This Row],[Risk_Overtime]]</f>
        <v>5</v>
      </c>
      <c r="AI78" s="2" t="str">
        <f>IF(Table1[[#This Row],[Total_Risk_Score]]&gt;=6,"High",IF(Table1[[#This Row],[Total_Risk_Score]]&gt;=3,"Medium","Low"))</f>
        <v>Medium</v>
      </c>
    </row>
    <row r="79" spans="1:35" x14ac:dyDescent="0.35">
      <c r="A79" t="s">
        <v>135</v>
      </c>
      <c r="B79" s="2">
        <v>45</v>
      </c>
      <c r="C79" s="2" t="s">
        <v>26</v>
      </c>
      <c r="D79" s="2" t="s">
        <v>22</v>
      </c>
      <c r="E79" s="2" t="s">
        <v>40</v>
      </c>
      <c r="F79" s="2">
        <v>6</v>
      </c>
      <c r="G79" s="2">
        <v>4</v>
      </c>
      <c r="H79" s="2" t="s">
        <v>30</v>
      </c>
      <c r="I79" s="2">
        <v>4</v>
      </c>
      <c r="J79" s="2" t="s">
        <v>28</v>
      </c>
      <c r="K79" s="2">
        <v>3</v>
      </c>
      <c r="L79" s="2">
        <v>3</v>
      </c>
      <c r="M79" s="2" t="s">
        <v>53</v>
      </c>
      <c r="N79" s="2">
        <v>1</v>
      </c>
      <c r="O79" s="2" t="s">
        <v>29</v>
      </c>
      <c r="P79" t="s">
        <v>40</v>
      </c>
      <c r="Q79" s="2" t="s">
        <v>48</v>
      </c>
      <c r="R79" s="2"/>
      <c r="S79" s="14">
        <v>13245</v>
      </c>
      <c r="T79" s="2">
        <v>4</v>
      </c>
      <c r="U79" s="2" t="s">
        <v>21</v>
      </c>
      <c r="V79" s="2">
        <v>3</v>
      </c>
      <c r="W79" s="2">
        <v>17</v>
      </c>
      <c r="X79" s="2">
        <v>3</v>
      </c>
      <c r="Y79" s="2">
        <v>4</v>
      </c>
      <c r="Z79" s="2">
        <v>0</v>
      </c>
      <c r="AA79" s="2">
        <v>0</v>
      </c>
      <c r="AB79" s="2">
        <v>0</v>
      </c>
      <c r="AC79" s="2">
        <v>0</v>
      </c>
      <c r="AD79" s="2">
        <f>IF(Table1[[#This Row],[Salary]]&lt;10000,2,0)</f>
        <v>0</v>
      </c>
      <c r="AE79" s="2">
        <f>IF(AND(Table1[[#This Row],[Tenure]]&gt;=2,Table1[[#This Row],[Tenure]]&lt;=4),2,0)</f>
        <v>0</v>
      </c>
      <c r="AF79" s="2">
        <f>IF(Table1[[#This Row],[PerformanceRating]]&lt;=2,3,0)</f>
        <v>0</v>
      </c>
      <c r="AG79" s="2">
        <f>IF(Table1[[#This Row],[OverTime]]="Yes",2,0)</f>
        <v>2</v>
      </c>
      <c r="AH79" s="2">
        <f>Table1[[#This Row],[Risk_Salary]]+Table1[[#This Row],[Risk_Tenure]]+Table1[[#This Row],[Risk_Performance]]+Table1[[#This Row],[Risk_Overtime]]</f>
        <v>2</v>
      </c>
      <c r="AI79" s="2" t="str">
        <f>IF(Table1[[#This Row],[Total_Risk_Score]]&gt;=6,"High",IF(Table1[[#This Row],[Total_Risk_Score]]&gt;=3,"Medium","Low"))</f>
        <v>Low</v>
      </c>
    </row>
    <row r="80" spans="1:35" x14ac:dyDescent="0.35">
      <c r="A80" t="s">
        <v>136</v>
      </c>
      <c r="B80" s="2">
        <v>37</v>
      </c>
      <c r="C80" s="2" t="s">
        <v>26</v>
      </c>
      <c r="D80" s="2" t="s">
        <v>22</v>
      </c>
      <c r="E80" s="2" t="s">
        <v>40</v>
      </c>
      <c r="F80" s="2">
        <v>7</v>
      </c>
      <c r="G80" s="2">
        <v>4</v>
      </c>
      <c r="H80" s="2" t="s">
        <v>31</v>
      </c>
      <c r="I80" s="2">
        <v>1</v>
      </c>
      <c r="J80" s="2" t="s">
        <v>28</v>
      </c>
      <c r="K80" s="2">
        <v>3</v>
      </c>
      <c r="L80" s="2">
        <v>3</v>
      </c>
      <c r="M80" s="2" t="s">
        <v>53</v>
      </c>
      <c r="N80" s="2">
        <v>3</v>
      </c>
      <c r="O80" s="2" t="s">
        <v>25</v>
      </c>
      <c r="P80" t="s">
        <v>39</v>
      </c>
      <c r="Q80" s="2" t="s">
        <v>47</v>
      </c>
      <c r="R80" s="2"/>
      <c r="S80" s="14">
        <v>13664</v>
      </c>
      <c r="T80" s="2">
        <v>4</v>
      </c>
      <c r="U80" s="2" t="s">
        <v>26</v>
      </c>
      <c r="V80" s="2">
        <v>3</v>
      </c>
      <c r="W80" s="2">
        <v>16</v>
      </c>
      <c r="X80" s="2">
        <v>3</v>
      </c>
      <c r="Y80" s="2">
        <v>4</v>
      </c>
      <c r="Z80" s="2">
        <v>5</v>
      </c>
      <c r="AA80" s="2">
        <v>2</v>
      </c>
      <c r="AB80" s="2">
        <v>0</v>
      </c>
      <c r="AC80" s="2">
        <v>2</v>
      </c>
      <c r="AD80" s="2">
        <f>IF(Table1[[#This Row],[Salary]]&lt;10000,2,0)</f>
        <v>0</v>
      </c>
      <c r="AE80" s="2">
        <f>IF(AND(Table1[[#This Row],[Tenure]]&gt;=2,Table1[[#This Row],[Tenure]]&lt;=4),2,0)</f>
        <v>0</v>
      </c>
      <c r="AF80" s="2">
        <f>IF(Table1[[#This Row],[PerformanceRating]]&lt;=2,3,0)</f>
        <v>0</v>
      </c>
      <c r="AG80" s="2">
        <f>IF(Table1[[#This Row],[OverTime]]="Yes",2,0)</f>
        <v>0</v>
      </c>
      <c r="AH80" s="2">
        <f>Table1[[#This Row],[Risk_Salary]]+Table1[[#This Row],[Risk_Tenure]]+Table1[[#This Row],[Risk_Performance]]+Table1[[#This Row],[Risk_Overtime]]</f>
        <v>0</v>
      </c>
      <c r="AI80" s="2" t="str">
        <f>IF(Table1[[#This Row],[Total_Risk_Score]]&gt;=6,"High",IF(Table1[[#This Row],[Total_Risk_Score]]&gt;=3,"Medium","Low"))</f>
        <v>Low</v>
      </c>
    </row>
    <row r="81" spans="1:35" x14ac:dyDescent="0.35">
      <c r="A81" t="s">
        <v>137</v>
      </c>
      <c r="B81" s="2">
        <v>46</v>
      </c>
      <c r="C81" s="2" t="s">
        <v>26</v>
      </c>
      <c r="D81" s="2" t="s">
        <v>22</v>
      </c>
      <c r="E81" s="2" t="s">
        <v>40</v>
      </c>
      <c r="F81" s="2">
        <v>5</v>
      </c>
      <c r="G81" s="2">
        <v>2</v>
      </c>
      <c r="H81" s="2" t="s">
        <v>31</v>
      </c>
      <c r="I81" s="2">
        <v>2</v>
      </c>
      <c r="J81" s="2" t="s">
        <v>28</v>
      </c>
      <c r="K81" s="2">
        <v>3</v>
      </c>
      <c r="L81" s="2">
        <v>2</v>
      </c>
      <c r="M81" s="2" t="s">
        <v>53</v>
      </c>
      <c r="N81" s="2">
        <v>2</v>
      </c>
      <c r="O81" s="2" t="s">
        <v>32</v>
      </c>
      <c r="P81" t="s">
        <v>49</v>
      </c>
      <c r="Q81" s="2" t="s">
        <v>47</v>
      </c>
      <c r="R81" s="2"/>
      <c r="S81" s="14">
        <v>5021</v>
      </c>
      <c r="T81" s="2">
        <v>8</v>
      </c>
      <c r="U81" s="2" t="s">
        <v>21</v>
      </c>
      <c r="V81" s="2">
        <v>4</v>
      </c>
      <c r="W81" s="2">
        <v>16</v>
      </c>
      <c r="X81" s="2">
        <v>2</v>
      </c>
      <c r="Y81" s="2">
        <v>3</v>
      </c>
      <c r="Z81" s="2">
        <v>4</v>
      </c>
      <c r="AA81" s="2">
        <v>2</v>
      </c>
      <c r="AB81" s="2">
        <v>0</v>
      </c>
      <c r="AC81" s="2">
        <v>2</v>
      </c>
      <c r="AD81" s="2">
        <f>IF(Table1[[#This Row],[Salary]]&lt;10000,2,0)</f>
        <v>2</v>
      </c>
      <c r="AE81" s="2">
        <f>IF(AND(Table1[[#This Row],[Tenure]]&gt;=2,Table1[[#This Row],[Tenure]]&lt;=4),2,0)</f>
        <v>2</v>
      </c>
      <c r="AF81" s="2">
        <f>IF(Table1[[#This Row],[PerformanceRating]]&lt;=2,3,0)</f>
        <v>0</v>
      </c>
      <c r="AG81" s="2">
        <f>IF(Table1[[#This Row],[OverTime]]="Yes",2,0)</f>
        <v>2</v>
      </c>
      <c r="AH81" s="2">
        <f>Table1[[#This Row],[Risk_Salary]]+Table1[[#This Row],[Risk_Tenure]]+Table1[[#This Row],[Risk_Performance]]+Table1[[#This Row],[Risk_Overtime]]</f>
        <v>6</v>
      </c>
      <c r="AI81" s="2" t="str">
        <f>IF(Table1[[#This Row],[Total_Risk_Score]]&gt;=6,"High",IF(Table1[[#This Row],[Total_Risk_Score]]&gt;=3,"Medium","Low"))</f>
        <v>High</v>
      </c>
    </row>
    <row r="82" spans="1:35" x14ac:dyDescent="0.35">
      <c r="A82" t="s">
        <v>138</v>
      </c>
      <c r="B82" s="2">
        <v>30</v>
      </c>
      <c r="C82" s="2" t="s">
        <v>26</v>
      </c>
      <c r="D82" s="2" t="s">
        <v>22</v>
      </c>
      <c r="E82" s="2" t="s">
        <v>40</v>
      </c>
      <c r="F82" s="2">
        <v>1</v>
      </c>
      <c r="G82" s="2">
        <v>1</v>
      </c>
      <c r="H82" s="2" t="s">
        <v>23</v>
      </c>
      <c r="I82" s="2">
        <v>4</v>
      </c>
      <c r="J82" s="2" t="s">
        <v>28</v>
      </c>
      <c r="K82" s="2">
        <v>2</v>
      </c>
      <c r="L82" s="2">
        <v>2</v>
      </c>
      <c r="M82" s="2" t="s">
        <v>50</v>
      </c>
      <c r="N82" s="2">
        <v>4</v>
      </c>
      <c r="O82" s="2" t="s">
        <v>29</v>
      </c>
      <c r="P82" t="s">
        <v>49</v>
      </c>
      <c r="Q82" s="2" t="s">
        <v>48</v>
      </c>
      <c r="R82" s="2"/>
      <c r="S82" s="14">
        <v>5126</v>
      </c>
      <c r="T82" s="2">
        <v>1</v>
      </c>
      <c r="U82" s="2" t="s">
        <v>21</v>
      </c>
      <c r="V82" s="2">
        <v>3</v>
      </c>
      <c r="W82" s="2">
        <v>10</v>
      </c>
      <c r="X82" s="2">
        <v>1</v>
      </c>
      <c r="Y82" s="2">
        <v>2</v>
      </c>
      <c r="Z82" s="2">
        <v>10</v>
      </c>
      <c r="AA82" s="2">
        <v>8</v>
      </c>
      <c r="AB82" s="2">
        <v>3</v>
      </c>
      <c r="AC82" s="2">
        <v>0</v>
      </c>
      <c r="AD82" s="2">
        <f>IF(Table1[[#This Row],[Salary]]&lt;10000,2,0)</f>
        <v>2</v>
      </c>
      <c r="AE82" s="2">
        <f>IF(AND(Table1[[#This Row],[Tenure]]&gt;=2,Table1[[#This Row],[Tenure]]&lt;=4),2,0)</f>
        <v>0</v>
      </c>
      <c r="AF82" s="2">
        <f>IF(Table1[[#This Row],[PerformanceRating]]&lt;=2,3,0)</f>
        <v>0</v>
      </c>
      <c r="AG82" s="2">
        <f>IF(Table1[[#This Row],[OverTime]]="Yes",2,0)</f>
        <v>2</v>
      </c>
      <c r="AH82" s="2">
        <f>Table1[[#This Row],[Risk_Salary]]+Table1[[#This Row],[Risk_Tenure]]+Table1[[#This Row],[Risk_Performance]]+Table1[[#This Row],[Risk_Overtime]]</f>
        <v>4</v>
      </c>
      <c r="AI82" s="2" t="str">
        <f>IF(Table1[[#This Row],[Total_Risk_Score]]&gt;=6,"High",IF(Table1[[#This Row],[Total_Risk_Score]]&gt;=3,"Medium","Low"))</f>
        <v>Medium</v>
      </c>
    </row>
    <row r="83" spans="1:35" x14ac:dyDescent="0.35">
      <c r="A83" t="s">
        <v>139</v>
      </c>
      <c r="B83" s="2">
        <v>35</v>
      </c>
      <c r="C83" s="2" t="s">
        <v>26</v>
      </c>
      <c r="D83" s="2" t="s">
        <v>22</v>
      </c>
      <c r="E83" s="2" t="s">
        <v>40</v>
      </c>
      <c r="F83" s="2">
        <v>1</v>
      </c>
      <c r="G83" s="2">
        <v>3</v>
      </c>
      <c r="H83" s="2" t="s">
        <v>31</v>
      </c>
      <c r="I83" s="2">
        <v>2</v>
      </c>
      <c r="J83" s="2" t="s">
        <v>28</v>
      </c>
      <c r="K83" s="2">
        <v>2</v>
      </c>
      <c r="L83" s="2">
        <v>1</v>
      </c>
      <c r="M83" s="2" t="s">
        <v>50</v>
      </c>
      <c r="N83" s="2">
        <v>3</v>
      </c>
      <c r="O83" s="2" t="s">
        <v>25</v>
      </c>
      <c r="P83" t="s">
        <v>40</v>
      </c>
      <c r="Q83" s="2" t="s">
        <v>45</v>
      </c>
      <c r="R83" s="2"/>
      <c r="S83" s="14">
        <v>2859</v>
      </c>
      <c r="T83" s="2">
        <v>1</v>
      </c>
      <c r="U83" s="2" t="s">
        <v>26</v>
      </c>
      <c r="V83" s="2">
        <v>3</v>
      </c>
      <c r="W83" s="2">
        <v>6</v>
      </c>
      <c r="X83" s="2">
        <v>3</v>
      </c>
      <c r="Y83" s="2">
        <v>3</v>
      </c>
      <c r="Z83" s="2">
        <v>6</v>
      </c>
      <c r="AA83" s="2">
        <v>4</v>
      </c>
      <c r="AB83" s="2">
        <v>0</v>
      </c>
      <c r="AC83" s="2">
        <v>4</v>
      </c>
      <c r="AD83" s="2">
        <f>IF(Table1[[#This Row],[Salary]]&lt;10000,2,0)</f>
        <v>2</v>
      </c>
      <c r="AE83" s="2">
        <f>IF(AND(Table1[[#This Row],[Tenure]]&gt;=2,Table1[[#This Row],[Tenure]]&lt;=4),2,0)</f>
        <v>0</v>
      </c>
      <c r="AF83" s="2">
        <f>IF(Table1[[#This Row],[PerformanceRating]]&lt;=2,3,0)</f>
        <v>0</v>
      </c>
      <c r="AG83" s="2">
        <f>IF(Table1[[#This Row],[OverTime]]="Yes",2,0)</f>
        <v>0</v>
      </c>
      <c r="AH83" s="2">
        <f>Table1[[#This Row],[Risk_Salary]]+Table1[[#This Row],[Risk_Tenure]]+Table1[[#This Row],[Risk_Performance]]+Table1[[#This Row],[Risk_Overtime]]</f>
        <v>2</v>
      </c>
      <c r="AI83" s="2" t="str">
        <f>IF(Table1[[#This Row],[Total_Risk_Score]]&gt;=6,"High",IF(Table1[[#This Row],[Total_Risk_Score]]&gt;=3,"Medium","Low"))</f>
        <v>Low</v>
      </c>
    </row>
    <row r="84" spans="1:35" x14ac:dyDescent="0.35">
      <c r="A84" t="s">
        <v>140</v>
      </c>
      <c r="B84" s="2">
        <v>55</v>
      </c>
      <c r="C84" s="2" t="s">
        <v>26</v>
      </c>
      <c r="D84" s="2" t="s">
        <v>22</v>
      </c>
      <c r="E84" s="2" t="s">
        <v>39</v>
      </c>
      <c r="F84" s="2">
        <v>1</v>
      </c>
      <c r="G84" s="2">
        <v>2</v>
      </c>
      <c r="H84" s="2" t="s">
        <v>23</v>
      </c>
      <c r="I84" s="2">
        <v>1</v>
      </c>
      <c r="J84" s="2" t="s">
        <v>28</v>
      </c>
      <c r="K84" s="2">
        <v>3</v>
      </c>
      <c r="L84" s="2">
        <v>3</v>
      </c>
      <c r="M84" s="2" t="s">
        <v>50</v>
      </c>
      <c r="N84" s="2">
        <v>4</v>
      </c>
      <c r="O84" s="2" t="s">
        <v>29</v>
      </c>
      <c r="P84" t="s">
        <v>40</v>
      </c>
      <c r="Q84" s="2" t="s">
        <v>47</v>
      </c>
      <c r="R84" s="2"/>
      <c r="S84" s="14">
        <v>10239</v>
      </c>
      <c r="T84" s="2">
        <v>3</v>
      </c>
      <c r="U84" s="2" t="s">
        <v>26</v>
      </c>
      <c r="V84" s="2">
        <v>3</v>
      </c>
      <c r="W84" s="2">
        <v>24</v>
      </c>
      <c r="X84" s="2">
        <v>4</v>
      </c>
      <c r="Y84" s="2">
        <v>3</v>
      </c>
      <c r="Z84" s="2">
        <v>1</v>
      </c>
      <c r="AA84" s="2">
        <v>0</v>
      </c>
      <c r="AB84" s="2">
        <v>1</v>
      </c>
      <c r="AC84" s="2">
        <v>0</v>
      </c>
      <c r="AD84" s="2">
        <f>IF(Table1[[#This Row],[Salary]]&lt;10000,2,0)</f>
        <v>0</v>
      </c>
      <c r="AE84" s="2">
        <f>IF(AND(Table1[[#This Row],[Tenure]]&gt;=2,Table1[[#This Row],[Tenure]]&lt;=4),2,0)</f>
        <v>0</v>
      </c>
      <c r="AF84" s="2">
        <f>IF(Table1[[#This Row],[PerformanceRating]]&lt;=2,3,0)</f>
        <v>0</v>
      </c>
      <c r="AG84" s="2">
        <f>IF(Table1[[#This Row],[OverTime]]="Yes",2,0)</f>
        <v>0</v>
      </c>
      <c r="AH84" s="2">
        <f>Table1[[#This Row],[Risk_Salary]]+Table1[[#This Row],[Risk_Tenure]]+Table1[[#This Row],[Risk_Performance]]+Table1[[#This Row],[Risk_Overtime]]</f>
        <v>0</v>
      </c>
      <c r="AI84" s="2" t="str">
        <f>IF(Table1[[#This Row],[Total_Risk_Score]]&gt;=6,"High",IF(Table1[[#This Row],[Total_Risk_Score]]&gt;=3,"Medium","Low"))</f>
        <v>Low</v>
      </c>
    </row>
    <row r="85" spans="1:35" x14ac:dyDescent="0.35">
      <c r="A85" t="s">
        <v>141</v>
      </c>
      <c r="B85" s="2">
        <v>38</v>
      </c>
      <c r="C85" s="2" t="s">
        <v>26</v>
      </c>
      <c r="D85" s="2" t="s">
        <v>33</v>
      </c>
      <c r="E85" s="2" t="s">
        <v>40</v>
      </c>
      <c r="F85" s="2">
        <v>6</v>
      </c>
      <c r="G85" s="2">
        <v>3</v>
      </c>
      <c r="H85" s="2" t="s">
        <v>31</v>
      </c>
      <c r="I85" s="2">
        <v>2</v>
      </c>
      <c r="J85" s="2" t="s">
        <v>24</v>
      </c>
      <c r="K85" s="2">
        <v>1</v>
      </c>
      <c r="L85" s="2">
        <v>2</v>
      </c>
      <c r="M85" s="2" t="s">
        <v>50</v>
      </c>
      <c r="N85" s="2">
        <v>4</v>
      </c>
      <c r="O85" s="2" t="s">
        <v>32</v>
      </c>
      <c r="P85" t="s">
        <v>49</v>
      </c>
      <c r="Q85" s="2" t="s">
        <v>46</v>
      </c>
      <c r="R85" s="2"/>
      <c r="S85" s="14">
        <v>5329</v>
      </c>
      <c r="T85" s="2">
        <v>7</v>
      </c>
      <c r="U85" s="2" t="s">
        <v>21</v>
      </c>
      <c r="V85" s="2">
        <v>3</v>
      </c>
      <c r="W85" s="2">
        <v>17</v>
      </c>
      <c r="X85" s="2">
        <v>3</v>
      </c>
      <c r="Y85" s="2">
        <v>3</v>
      </c>
      <c r="Z85" s="2">
        <v>13</v>
      </c>
      <c r="AA85" s="2">
        <v>11</v>
      </c>
      <c r="AB85" s="2">
        <v>1</v>
      </c>
      <c r="AC85" s="2">
        <v>9</v>
      </c>
      <c r="AD85" s="2">
        <f>IF(Table1[[#This Row],[Salary]]&lt;10000,2,0)</f>
        <v>2</v>
      </c>
      <c r="AE85" s="2">
        <f>IF(AND(Table1[[#This Row],[Tenure]]&gt;=2,Table1[[#This Row],[Tenure]]&lt;=4),2,0)</f>
        <v>0</v>
      </c>
      <c r="AF85" s="2">
        <f>IF(Table1[[#This Row],[PerformanceRating]]&lt;=2,3,0)</f>
        <v>0</v>
      </c>
      <c r="AG85" s="2">
        <f>IF(Table1[[#This Row],[OverTime]]="Yes",2,0)</f>
        <v>2</v>
      </c>
      <c r="AH85" s="2">
        <f>Table1[[#This Row],[Risk_Salary]]+Table1[[#This Row],[Risk_Tenure]]+Table1[[#This Row],[Risk_Performance]]+Table1[[#This Row],[Risk_Overtime]]</f>
        <v>4</v>
      </c>
      <c r="AI85" s="2" t="str">
        <f>IF(Table1[[#This Row],[Total_Risk_Score]]&gt;=6,"High",IF(Table1[[#This Row],[Total_Risk_Score]]&gt;=3,"Medium","Low"))</f>
        <v>Medium</v>
      </c>
    </row>
    <row r="86" spans="1:35" x14ac:dyDescent="0.35">
      <c r="A86" t="s">
        <v>142</v>
      </c>
      <c r="B86" s="2">
        <v>34</v>
      </c>
      <c r="C86" s="2" t="s">
        <v>26</v>
      </c>
      <c r="D86" s="2" t="s">
        <v>22</v>
      </c>
      <c r="E86" s="2" t="s">
        <v>40</v>
      </c>
      <c r="F86" s="2">
        <v>1</v>
      </c>
      <c r="G86" s="2">
        <v>2</v>
      </c>
      <c r="H86" s="2" t="s">
        <v>31</v>
      </c>
      <c r="I86" s="2">
        <v>1</v>
      </c>
      <c r="J86" s="2" t="s">
        <v>28</v>
      </c>
      <c r="K86" s="2">
        <v>3</v>
      </c>
      <c r="L86" s="2">
        <v>2</v>
      </c>
      <c r="M86" s="2" t="s">
        <v>53</v>
      </c>
      <c r="N86" s="2">
        <v>2</v>
      </c>
      <c r="O86" s="2" t="s">
        <v>29</v>
      </c>
      <c r="P86" t="s">
        <v>40</v>
      </c>
      <c r="Q86" s="2" t="s">
        <v>48</v>
      </c>
      <c r="R86" s="2"/>
      <c r="S86" s="14">
        <v>4325</v>
      </c>
      <c r="T86" s="2">
        <v>1</v>
      </c>
      <c r="U86" s="2" t="s">
        <v>26</v>
      </c>
      <c r="V86" s="2">
        <v>3</v>
      </c>
      <c r="W86" s="2">
        <v>5</v>
      </c>
      <c r="X86" s="2">
        <v>2</v>
      </c>
      <c r="Y86" s="2">
        <v>3</v>
      </c>
      <c r="Z86" s="2">
        <v>5</v>
      </c>
      <c r="AA86" s="2">
        <v>2</v>
      </c>
      <c r="AB86" s="2">
        <v>1</v>
      </c>
      <c r="AC86" s="2">
        <v>3</v>
      </c>
      <c r="AD86" s="2">
        <f>IF(Table1[[#This Row],[Salary]]&lt;10000,2,0)</f>
        <v>2</v>
      </c>
      <c r="AE86" s="2">
        <f>IF(AND(Table1[[#This Row],[Tenure]]&gt;=2,Table1[[#This Row],[Tenure]]&lt;=4),2,0)</f>
        <v>0</v>
      </c>
      <c r="AF86" s="2">
        <f>IF(Table1[[#This Row],[PerformanceRating]]&lt;=2,3,0)</f>
        <v>0</v>
      </c>
      <c r="AG86" s="2">
        <f>IF(Table1[[#This Row],[OverTime]]="Yes",2,0)</f>
        <v>0</v>
      </c>
      <c r="AH86" s="2">
        <f>Table1[[#This Row],[Risk_Salary]]+Table1[[#This Row],[Risk_Tenure]]+Table1[[#This Row],[Risk_Performance]]+Table1[[#This Row],[Risk_Overtime]]</f>
        <v>2</v>
      </c>
      <c r="AI86" s="2" t="str">
        <f>IF(Table1[[#This Row],[Total_Risk_Score]]&gt;=6,"High",IF(Table1[[#This Row],[Total_Risk_Score]]&gt;=3,"Medium","Low"))</f>
        <v>Low</v>
      </c>
    </row>
    <row r="87" spans="1:35" x14ac:dyDescent="0.35">
      <c r="A87" t="s">
        <v>143</v>
      </c>
      <c r="B87" s="2">
        <v>56</v>
      </c>
      <c r="C87" s="2" t="s">
        <v>26</v>
      </c>
      <c r="D87" s="2" t="s">
        <v>22</v>
      </c>
      <c r="E87" s="2" t="s">
        <v>40</v>
      </c>
      <c r="F87" s="2">
        <v>7</v>
      </c>
      <c r="G87" s="2">
        <v>3</v>
      </c>
      <c r="H87" s="2" t="s">
        <v>23</v>
      </c>
      <c r="I87" s="2">
        <v>4</v>
      </c>
      <c r="J87" s="2" t="s">
        <v>28</v>
      </c>
      <c r="K87" s="2">
        <v>1</v>
      </c>
      <c r="L87" s="2">
        <v>3</v>
      </c>
      <c r="M87" s="2" t="s">
        <v>53</v>
      </c>
      <c r="N87" s="2">
        <v>4</v>
      </c>
      <c r="O87" s="2" t="s">
        <v>25</v>
      </c>
      <c r="P87" t="s">
        <v>40</v>
      </c>
      <c r="Q87" s="2" t="s">
        <v>47</v>
      </c>
      <c r="R87" s="2"/>
      <c r="S87" s="14">
        <v>7260</v>
      </c>
      <c r="T87" s="2">
        <v>4</v>
      </c>
      <c r="U87" s="2" t="s">
        <v>26</v>
      </c>
      <c r="V87" s="2">
        <v>3</v>
      </c>
      <c r="W87" s="2">
        <v>37</v>
      </c>
      <c r="X87" s="2">
        <v>3</v>
      </c>
      <c r="Y87" s="2">
        <v>2</v>
      </c>
      <c r="Z87" s="2">
        <v>6</v>
      </c>
      <c r="AA87" s="2">
        <v>4</v>
      </c>
      <c r="AB87" s="2">
        <v>0</v>
      </c>
      <c r="AC87" s="2">
        <v>2</v>
      </c>
      <c r="AD87" s="2">
        <f>IF(Table1[[#This Row],[Salary]]&lt;10000,2,0)</f>
        <v>2</v>
      </c>
      <c r="AE87" s="2">
        <f>IF(AND(Table1[[#This Row],[Tenure]]&gt;=2,Table1[[#This Row],[Tenure]]&lt;=4),2,0)</f>
        <v>0</v>
      </c>
      <c r="AF87" s="2">
        <f>IF(Table1[[#This Row],[PerformanceRating]]&lt;=2,3,0)</f>
        <v>0</v>
      </c>
      <c r="AG87" s="2">
        <f>IF(Table1[[#This Row],[OverTime]]="Yes",2,0)</f>
        <v>0</v>
      </c>
      <c r="AH87" s="2">
        <f>Table1[[#This Row],[Risk_Salary]]+Table1[[#This Row],[Risk_Tenure]]+Table1[[#This Row],[Risk_Performance]]+Table1[[#This Row],[Risk_Overtime]]</f>
        <v>2</v>
      </c>
      <c r="AI87" s="2" t="str">
        <f>IF(Table1[[#This Row],[Total_Risk_Score]]&gt;=6,"High",IF(Table1[[#This Row],[Total_Risk_Score]]&gt;=3,"Medium","Low"))</f>
        <v>Low</v>
      </c>
    </row>
    <row r="88" spans="1:35" x14ac:dyDescent="0.35">
      <c r="A88" t="s">
        <v>144</v>
      </c>
      <c r="B88" s="2">
        <v>23</v>
      </c>
      <c r="C88" s="2" t="s">
        <v>26</v>
      </c>
      <c r="D88" s="2" t="s">
        <v>22</v>
      </c>
      <c r="E88" s="2" t="s">
        <v>39</v>
      </c>
      <c r="F88" s="2">
        <v>2</v>
      </c>
      <c r="G88" s="2">
        <v>1</v>
      </c>
      <c r="H88" s="2" t="s">
        <v>35</v>
      </c>
      <c r="I88" s="2">
        <v>3</v>
      </c>
      <c r="J88" s="2" t="s">
        <v>28</v>
      </c>
      <c r="K88" s="2">
        <v>3</v>
      </c>
      <c r="L88" s="2">
        <v>1</v>
      </c>
      <c r="M88" s="2" t="s">
        <v>53</v>
      </c>
      <c r="N88" s="2">
        <v>1</v>
      </c>
      <c r="O88" s="2" t="s">
        <v>32</v>
      </c>
      <c r="P88" t="s">
        <v>39</v>
      </c>
      <c r="Q88" s="2" t="s">
        <v>47</v>
      </c>
      <c r="R88" s="2"/>
      <c r="S88" s="14">
        <v>2322</v>
      </c>
      <c r="T88" s="2">
        <v>3</v>
      </c>
      <c r="U88" s="2" t="s">
        <v>26</v>
      </c>
      <c r="V88" s="2">
        <v>3</v>
      </c>
      <c r="W88" s="2">
        <v>3</v>
      </c>
      <c r="X88" s="2">
        <v>3</v>
      </c>
      <c r="Y88" s="2">
        <v>3</v>
      </c>
      <c r="Z88" s="2">
        <v>0</v>
      </c>
      <c r="AA88" s="2">
        <v>0</v>
      </c>
      <c r="AB88" s="2">
        <v>0</v>
      </c>
      <c r="AC88" s="2">
        <v>0</v>
      </c>
      <c r="AD88" s="2">
        <f>IF(Table1[[#This Row],[Salary]]&lt;10000,2,0)</f>
        <v>2</v>
      </c>
      <c r="AE88" s="2">
        <f>IF(AND(Table1[[#This Row],[Tenure]]&gt;=2,Table1[[#This Row],[Tenure]]&lt;=4),2,0)</f>
        <v>0</v>
      </c>
      <c r="AF88" s="2">
        <f>IF(Table1[[#This Row],[PerformanceRating]]&lt;=2,3,0)</f>
        <v>0</v>
      </c>
      <c r="AG88" s="2">
        <f>IF(Table1[[#This Row],[OverTime]]="Yes",2,0)</f>
        <v>0</v>
      </c>
      <c r="AH88" s="2">
        <f>Table1[[#This Row],[Risk_Salary]]+Table1[[#This Row],[Risk_Tenure]]+Table1[[#This Row],[Risk_Performance]]+Table1[[#This Row],[Risk_Overtime]]</f>
        <v>2</v>
      </c>
      <c r="AI88" s="2" t="str">
        <f>IF(Table1[[#This Row],[Total_Risk_Score]]&gt;=6,"High",IF(Table1[[#This Row],[Total_Risk_Score]]&gt;=3,"Medium","Low"))</f>
        <v>Low</v>
      </c>
    </row>
    <row r="89" spans="1:35" x14ac:dyDescent="0.35">
      <c r="A89" t="s">
        <v>145</v>
      </c>
      <c r="B89" s="2">
        <v>51</v>
      </c>
      <c r="C89" s="2" t="s">
        <v>26</v>
      </c>
      <c r="D89" s="2" t="s">
        <v>22</v>
      </c>
      <c r="E89" s="2" t="s">
        <v>40</v>
      </c>
      <c r="F89" s="2">
        <v>9</v>
      </c>
      <c r="G89" s="2">
        <v>4</v>
      </c>
      <c r="H89" s="2" t="s">
        <v>23</v>
      </c>
      <c r="I89" s="2">
        <v>4</v>
      </c>
      <c r="J89" s="2" t="s">
        <v>28</v>
      </c>
      <c r="K89" s="2">
        <v>3</v>
      </c>
      <c r="L89" s="2">
        <v>1</v>
      </c>
      <c r="M89" s="2" t="s">
        <v>50</v>
      </c>
      <c r="N89" s="2">
        <v>4</v>
      </c>
      <c r="O89" s="2" t="s">
        <v>29</v>
      </c>
      <c r="P89" t="s">
        <v>49</v>
      </c>
      <c r="Q89" s="2" t="s">
        <v>48</v>
      </c>
      <c r="R89" s="2"/>
      <c r="S89" s="14">
        <v>2075</v>
      </c>
      <c r="T89" s="2">
        <v>3</v>
      </c>
      <c r="U89" s="2" t="s">
        <v>26</v>
      </c>
      <c r="V89" s="2">
        <v>4</v>
      </c>
      <c r="W89" s="2">
        <v>10</v>
      </c>
      <c r="X89" s="2">
        <v>4</v>
      </c>
      <c r="Y89" s="2">
        <v>3</v>
      </c>
      <c r="Z89" s="2">
        <v>4</v>
      </c>
      <c r="AA89" s="2">
        <v>2</v>
      </c>
      <c r="AB89" s="2">
        <v>0</v>
      </c>
      <c r="AC89" s="2">
        <v>3</v>
      </c>
      <c r="AD89" s="2">
        <f>IF(Table1[[#This Row],[Salary]]&lt;10000,2,0)</f>
        <v>2</v>
      </c>
      <c r="AE89" s="2">
        <f>IF(AND(Table1[[#This Row],[Tenure]]&gt;=2,Table1[[#This Row],[Tenure]]&lt;=4),2,0)</f>
        <v>2</v>
      </c>
      <c r="AF89" s="2">
        <f>IF(Table1[[#This Row],[PerformanceRating]]&lt;=2,3,0)</f>
        <v>0</v>
      </c>
      <c r="AG89" s="2">
        <f>IF(Table1[[#This Row],[OverTime]]="Yes",2,0)</f>
        <v>0</v>
      </c>
      <c r="AH89" s="2">
        <f>Table1[[#This Row],[Risk_Salary]]+Table1[[#This Row],[Risk_Tenure]]+Table1[[#This Row],[Risk_Performance]]+Table1[[#This Row],[Risk_Overtime]]</f>
        <v>4</v>
      </c>
      <c r="AI89" s="2" t="str">
        <f>IF(Table1[[#This Row],[Total_Risk_Score]]&gt;=6,"High",IF(Table1[[#This Row],[Total_Risk_Score]]&gt;=3,"Medium","Low"))</f>
        <v>Medium</v>
      </c>
    </row>
    <row r="90" spans="1:35" x14ac:dyDescent="0.35">
      <c r="A90" t="s">
        <v>146</v>
      </c>
      <c r="B90" s="2">
        <v>30</v>
      </c>
      <c r="C90" s="2" t="s">
        <v>26</v>
      </c>
      <c r="D90" s="2" t="s">
        <v>22</v>
      </c>
      <c r="E90" s="2" t="s">
        <v>40</v>
      </c>
      <c r="F90" s="2">
        <v>2</v>
      </c>
      <c r="G90" s="2">
        <v>3</v>
      </c>
      <c r="H90" s="2" t="s">
        <v>23</v>
      </c>
      <c r="I90" s="2">
        <v>3</v>
      </c>
      <c r="J90" s="2" t="s">
        <v>28</v>
      </c>
      <c r="K90" s="2">
        <v>2</v>
      </c>
      <c r="L90" s="2">
        <v>2</v>
      </c>
      <c r="M90" s="2" t="s">
        <v>53</v>
      </c>
      <c r="N90" s="2">
        <v>4</v>
      </c>
      <c r="O90" s="2" t="s">
        <v>29</v>
      </c>
      <c r="P90" t="s">
        <v>49</v>
      </c>
      <c r="Q90" s="2" t="s">
        <v>45</v>
      </c>
      <c r="R90" s="2"/>
      <c r="S90" s="14">
        <v>4152</v>
      </c>
      <c r="T90" s="2">
        <v>1</v>
      </c>
      <c r="U90" s="2" t="s">
        <v>26</v>
      </c>
      <c r="V90" s="2">
        <v>3</v>
      </c>
      <c r="W90" s="2">
        <v>11</v>
      </c>
      <c r="X90" s="2">
        <v>3</v>
      </c>
      <c r="Y90" s="2">
        <v>3</v>
      </c>
      <c r="Z90" s="2">
        <v>11</v>
      </c>
      <c r="AA90" s="2">
        <v>10</v>
      </c>
      <c r="AB90" s="2">
        <v>10</v>
      </c>
      <c r="AC90" s="2">
        <v>8</v>
      </c>
      <c r="AD90" s="2">
        <f>IF(Table1[[#This Row],[Salary]]&lt;10000,2,0)</f>
        <v>2</v>
      </c>
      <c r="AE90" s="2">
        <f>IF(AND(Table1[[#This Row],[Tenure]]&gt;=2,Table1[[#This Row],[Tenure]]&lt;=4),2,0)</f>
        <v>0</v>
      </c>
      <c r="AF90" s="2">
        <f>IF(Table1[[#This Row],[PerformanceRating]]&lt;=2,3,0)</f>
        <v>0</v>
      </c>
      <c r="AG90" s="2">
        <f>IF(Table1[[#This Row],[OverTime]]="Yes",2,0)</f>
        <v>0</v>
      </c>
      <c r="AH90" s="2">
        <f>Table1[[#This Row],[Risk_Salary]]+Table1[[#This Row],[Risk_Tenure]]+Table1[[#This Row],[Risk_Performance]]+Table1[[#This Row],[Risk_Overtime]]</f>
        <v>2</v>
      </c>
      <c r="AI90" s="2" t="str">
        <f>IF(Table1[[#This Row],[Total_Risk_Score]]&gt;=6,"High",IF(Table1[[#This Row],[Total_Risk_Score]]&gt;=3,"Medium","Low"))</f>
        <v>Low</v>
      </c>
    </row>
    <row r="91" spans="1:35" x14ac:dyDescent="0.35">
      <c r="A91" t="s">
        <v>147</v>
      </c>
      <c r="B91" s="2">
        <v>46</v>
      </c>
      <c r="C91" s="2" t="s">
        <v>21</v>
      </c>
      <c r="D91" s="2" t="s">
        <v>22</v>
      </c>
      <c r="E91" s="2" t="s">
        <v>39</v>
      </c>
      <c r="F91" s="2">
        <v>9</v>
      </c>
      <c r="G91" s="2">
        <v>2</v>
      </c>
      <c r="H91" s="2" t="s">
        <v>31</v>
      </c>
      <c r="I91" s="2">
        <v>3</v>
      </c>
      <c r="J91" s="2" t="s">
        <v>28</v>
      </c>
      <c r="K91" s="2">
        <v>2</v>
      </c>
      <c r="L91" s="2">
        <v>3</v>
      </c>
      <c r="M91" s="2" t="s">
        <v>50</v>
      </c>
      <c r="N91" s="2">
        <v>4</v>
      </c>
      <c r="O91" s="2" t="s">
        <v>25</v>
      </c>
      <c r="P91" t="s">
        <v>40</v>
      </c>
      <c r="Q91" s="2" t="s">
        <v>47</v>
      </c>
      <c r="R91" s="2"/>
      <c r="S91" s="14">
        <v>9619</v>
      </c>
      <c r="T91" s="2">
        <v>1</v>
      </c>
      <c r="U91" s="2" t="s">
        <v>26</v>
      </c>
      <c r="V91" s="2">
        <v>3</v>
      </c>
      <c r="W91" s="2">
        <v>9</v>
      </c>
      <c r="X91" s="2">
        <v>3</v>
      </c>
      <c r="Y91" s="2">
        <v>3</v>
      </c>
      <c r="Z91" s="2">
        <v>9</v>
      </c>
      <c r="AA91" s="2">
        <v>8</v>
      </c>
      <c r="AB91" s="2">
        <v>4</v>
      </c>
      <c r="AC91" s="2">
        <v>7</v>
      </c>
      <c r="AD91" s="2">
        <f>IF(Table1[[#This Row],[Salary]]&lt;10000,2,0)</f>
        <v>2</v>
      </c>
      <c r="AE91" s="2">
        <f>IF(AND(Table1[[#This Row],[Tenure]]&gt;=2,Table1[[#This Row],[Tenure]]&lt;=4),2,0)</f>
        <v>0</v>
      </c>
      <c r="AF91" s="2">
        <f>IF(Table1[[#This Row],[PerformanceRating]]&lt;=2,3,0)</f>
        <v>0</v>
      </c>
      <c r="AG91" s="2">
        <f>IF(Table1[[#This Row],[OverTime]]="Yes",2,0)</f>
        <v>0</v>
      </c>
      <c r="AH91" s="2">
        <f>Table1[[#This Row],[Risk_Salary]]+Table1[[#This Row],[Risk_Tenure]]+Table1[[#This Row],[Risk_Performance]]+Table1[[#This Row],[Risk_Overtime]]</f>
        <v>2</v>
      </c>
      <c r="AI91" s="2" t="str">
        <f>IF(Table1[[#This Row],[Total_Risk_Score]]&gt;=6,"High",IF(Table1[[#This Row],[Total_Risk_Score]]&gt;=3,"Medium","Low"))</f>
        <v>Low</v>
      </c>
    </row>
    <row r="92" spans="1:35" x14ac:dyDescent="0.35">
      <c r="A92" t="s">
        <v>148</v>
      </c>
      <c r="B92" s="2">
        <v>40</v>
      </c>
      <c r="C92" s="2" t="s">
        <v>26</v>
      </c>
      <c r="D92" s="2" t="s">
        <v>27</v>
      </c>
      <c r="E92" s="2" t="s">
        <v>40</v>
      </c>
      <c r="F92" s="2">
        <v>1</v>
      </c>
      <c r="G92" s="2">
        <v>4</v>
      </c>
      <c r="H92" s="2" t="s">
        <v>23</v>
      </c>
      <c r="I92" s="2">
        <v>3</v>
      </c>
      <c r="J92" s="2" t="s">
        <v>28</v>
      </c>
      <c r="K92" s="2">
        <v>2</v>
      </c>
      <c r="L92" s="2">
        <v>4</v>
      </c>
      <c r="M92" s="2" t="s">
        <v>53</v>
      </c>
      <c r="N92" s="2">
        <v>2</v>
      </c>
      <c r="O92" s="2" t="s">
        <v>29</v>
      </c>
      <c r="P92" t="s">
        <v>40</v>
      </c>
      <c r="Q92" s="2" t="s">
        <v>46</v>
      </c>
      <c r="R92" s="2"/>
      <c r="S92" s="14">
        <v>13503</v>
      </c>
      <c r="T92" s="2">
        <v>1</v>
      </c>
      <c r="U92" s="2" t="s">
        <v>26</v>
      </c>
      <c r="V92" s="2">
        <v>4</v>
      </c>
      <c r="W92" s="2">
        <v>22</v>
      </c>
      <c r="X92" s="2">
        <v>3</v>
      </c>
      <c r="Y92" s="2">
        <v>2</v>
      </c>
      <c r="Z92" s="2">
        <v>22</v>
      </c>
      <c r="AA92" s="2">
        <v>3</v>
      </c>
      <c r="AB92" s="2">
        <v>11</v>
      </c>
      <c r="AC92" s="2">
        <v>11</v>
      </c>
      <c r="AD92" s="2">
        <f>IF(Table1[[#This Row],[Salary]]&lt;10000,2,0)</f>
        <v>0</v>
      </c>
      <c r="AE92" s="2">
        <f>IF(AND(Table1[[#This Row],[Tenure]]&gt;=2,Table1[[#This Row],[Tenure]]&lt;=4),2,0)</f>
        <v>0</v>
      </c>
      <c r="AF92" s="2">
        <f>IF(Table1[[#This Row],[PerformanceRating]]&lt;=2,3,0)</f>
        <v>0</v>
      </c>
      <c r="AG92" s="2">
        <f>IF(Table1[[#This Row],[OverTime]]="Yes",2,0)</f>
        <v>0</v>
      </c>
      <c r="AH92" s="2">
        <f>Table1[[#This Row],[Risk_Salary]]+Table1[[#This Row],[Risk_Tenure]]+Table1[[#This Row],[Risk_Performance]]+Table1[[#This Row],[Risk_Overtime]]</f>
        <v>0</v>
      </c>
      <c r="AI92" s="2" t="str">
        <f>IF(Table1[[#This Row],[Total_Risk_Score]]&gt;=6,"High",IF(Table1[[#This Row],[Total_Risk_Score]]&gt;=3,"Medium","Low"))</f>
        <v>Low</v>
      </c>
    </row>
    <row r="93" spans="1:35" x14ac:dyDescent="0.35">
      <c r="A93" t="s">
        <v>149</v>
      </c>
      <c r="B93" s="2">
        <v>51</v>
      </c>
      <c r="C93" s="2" t="s">
        <v>26</v>
      </c>
      <c r="D93" s="2" t="s">
        <v>22</v>
      </c>
      <c r="E93" s="2" t="s">
        <v>39</v>
      </c>
      <c r="F93" s="2">
        <v>21</v>
      </c>
      <c r="G93" s="2">
        <v>4</v>
      </c>
      <c r="H93" s="2" t="s">
        <v>34</v>
      </c>
      <c r="I93" s="2">
        <v>3</v>
      </c>
      <c r="J93" s="2" t="s">
        <v>28</v>
      </c>
      <c r="K93" s="2">
        <v>3</v>
      </c>
      <c r="L93" s="2">
        <v>2</v>
      </c>
      <c r="M93" s="2" t="s">
        <v>50</v>
      </c>
      <c r="N93" s="2">
        <v>4</v>
      </c>
      <c r="O93" s="2" t="s">
        <v>25</v>
      </c>
      <c r="P93" t="s">
        <v>39</v>
      </c>
      <c r="Q93" s="2" t="s">
        <v>48</v>
      </c>
      <c r="R93" s="2"/>
      <c r="S93" s="14">
        <v>5441</v>
      </c>
      <c r="T93" s="2">
        <v>0</v>
      </c>
      <c r="U93" s="2" t="s">
        <v>21</v>
      </c>
      <c r="V93" s="2">
        <v>4</v>
      </c>
      <c r="W93" s="2">
        <v>11</v>
      </c>
      <c r="X93" s="2">
        <v>2</v>
      </c>
      <c r="Y93" s="2">
        <v>1</v>
      </c>
      <c r="Z93" s="2">
        <v>10</v>
      </c>
      <c r="AA93" s="2">
        <v>7</v>
      </c>
      <c r="AB93" s="2">
        <v>1</v>
      </c>
      <c r="AC93" s="2">
        <v>0</v>
      </c>
      <c r="AD93" s="2">
        <f>IF(Table1[[#This Row],[Salary]]&lt;10000,2,0)</f>
        <v>2</v>
      </c>
      <c r="AE93" s="2">
        <f>IF(AND(Table1[[#This Row],[Tenure]]&gt;=2,Table1[[#This Row],[Tenure]]&lt;=4),2,0)</f>
        <v>0</v>
      </c>
      <c r="AF93" s="2">
        <f>IF(Table1[[#This Row],[PerformanceRating]]&lt;=2,3,0)</f>
        <v>0</v>
      </c>
      <c r="AG93" s="2">
        <f>IF(Table1[[#This Row],[OverTime]]="Yes",2,0)</f>
        <v>2</v>
      </c>
      <c r="AH93" s="2">
        <f>Table1[[#This Row],[Risk_Salary]]+Table1[[#This Row],[Risk_Tenure]]+Table1[[#This Row],[Risk_Performance]]+Table1[[#This Row],[Risk_Overtime]]</f>
        <v>4</v>
      </c>
      <c r="AI93" s="2" t="str">
        <f>IF(Table1[[#This Row],[Total_Risk_Score]]&gt;=6,"High",IF(Table1[[#This Row],[Total_Risk_Score]]&gt;=3,"Medium","Low"))</f>
        <v>Medium</v>
      </c>
    </row>
    <row r="94" spans="1:35" x14ac:dyDescent="0.35">
      <c r="A94" t="s">
        <v>150</v>
      </c>
      <c r="B94" s="2">
        <v>30</v>
      </c>
      <c r="C94" s="2" t="s">
        <v>26</v>
      </c>
      <c r="D94" s="2" t="s">
        <v>22</v>
      </c>
      <c r="E94" s="2" t="s">
        <v>39</v>
      </c>
      <c r="F94" s="2">
        <v>4</v>
      </c>
      <c r="G94" s="2">
        <v>2</v>
      </c>
      <c r="H94" s="2" t="s">
        <v>31</v>
      </c>
      <c r="I94" s="2">
        <v>3</v>
      </c>
      <c r="J94" s="2" t="s">
        <v>24</v>
      </c>
      <c r="K94" s="2">
        <v>2</v>
      </c>
      <c r="L94" s="2">
        <v>2</v>
      </c>
      <c r="M94" s="2" t="s">
        <v>50</v>
      </c>
      <c r="N94" s="2">
        <v>2</v>
      </c>
      <c r="O94" s="2" t="s">
        <v>32</v>
      </c>
      <c r="P94" t="s">
        <v>39</v>
      </c>
      <c r="Q94" s="2" t="s">
        <v>47</v>
      </c>
      <c r="R94" s="2"/>
      <c r="S94" s="14">
        <v>5209</v>
      </c>
      <c r="T94" s="2">
        <v>1</v>
      </c>
      <c r="U94" s="2" t="s">
        <v>21</v>
      </c>
      <c r="V94" s="2">
        <v>3</v>
      </c>
      <c r="W94" s="2">
        <v>11</v>
      </c>
      <c r="X94" s="2">
        <v>4</v>
      </c>
      <c r="Y94" s="2">
        <v>2</v>
      </c>
      <c r="Z94" s="2">
        <v>11</v>
      </c>
      <c r="AA94" s="2">
        <v>8</v>
      </c>
      <c r="AB94" s="2">
        <v>2</v>
      </c>
      <c r="AC94" s="2">
        <v>7</v>
      </c>
      <c r="AD94" s="2">
        <f>IF(Table1[[#This Row],[Salary]]&lt;10000,2,0)</f>
        <v>2</v>
      </c>
      <c r="AE94" s="2">
        <f>IF(AND(Table1[[#This Row],[Tenure]]&gt;=2,Table1[[#This Row],[Tenure]]&lt;=4),2,0)</f>
        <v>0</v>
      </c>
      <c r="AF94" s="2">
        <f>IF(Table1[[#This Row],[PerformanceRating]]&lt;=2,3,0)</f>
        <v>0</v>
      </c>
      <c r="AG94" s="2">
        <f>IF(Table1[[#This Row],[OverTime]]="Yes",2,0)</f>
        <v>2</v>
      </c>
      <c r="AH94" s="2">
        <f>Table1[[#This Row],[Risk_Salary]]+Table1[[#This Row],[Risk_Tenure]]+Table1[[#This Row],[Risk_Performance]]+Table1[[#This Row],[Risk_Overtime]]</f>
        <v>4</v>
      </c>
      <c r="AI94" s="2" t="str">
        <f>IF(Table1[[#This Row],[Total_Risk_Score]]&gt;=6,"High",IF(Table1[[#This Row],[Total_Risk_Score]]&gt;=3,"Medium","Low"))</f>
        <v>Medium</v>
      </c>
    </row>
    <row r="95" spans="1:35" x14ac:dyDescent="0.35">
      <c r="A95" t="s">
        <v>151</v>
      </c>
      <c r="B95" s="2">
        <v>46</v>
      </c>
      <c r="C95" s="2" t="s">
        <v>26</v>
      </c>
      <c r="D95" s="2" t="s">
        <v>27</v>
      </c>
      <c r="E95" s="2" t="s">
        <v>40</v>
      </c>
      <c r="F95" s="2">
        <v>1</v>
      </c>
      <c r="G95" s="2">
        <v>3</v>
      </c>
      <c r="H95" s="2" t="s">
        <v>31</v>
      </c>
      <c r="I95" s="2">
        <v>3</v>
      </c>
      <c r="J95" s="2" t="s">
        <v>28</v>
      </c>
      <c r="K95" s="2">
        <v>2</v>
      </c>
      <c r="L95" s="2">
        <v>3</v>
      </c>
      <c r="M95" s="2" t="s">
        <v>53</v>
      </c>
      <c r="N95" s="2">
        <v>1</v>
      </c>
      <c r="O95" s="2" t="s">
        <v>29</v>
      </c>
      <c r="P95" t="s">
        <v>40</v>
      </c>
      <c r="Q95" s="2" t="s">
        <v>46</v>
      </c>
      <c r="R95" s="2"/>
      <c r="S95" s="14">
        <v>10673</v>
      </c>
      <c r="T95" s="2">
        <v>2</v>
      </c>
      <c r="U95" s="2" t="s">
        <v>21</v>
      </c>
      <c r="V95" s="2">
        <v>3</v>
      </c>
      <c r="W95" s="2">
        <v>21</v>
      </c>
      <c r="X95" s="2">
        <v>5</v>
      </c>
      <c r="Y95" s="2">
        <v>2</v>
      </c>
      <c r="Z95" s="2">
        <v>10</v>
      </c>
      <c r="AA95" s="2">
        <v>9</v>
      </c>
      <c r="AB95" s="2">
        <v>9</v>
      </c>
      <c r="AC95" s="2">
        <v>5</v>
      </c>
      <c r="AD95" s="2">
        <f>IF(Table1[[#This Row],[Salary]]&lt;10000,2,0)</f>
        <v>0</v>
      </c>
      <c r="AE95" s="2">
        <f>IF(AND(Table1[[#This Row],[Tenure]]&gt;=2,Table1[[#This Row],[Tenure]]&lt;=4),2,0)</f>
        <v>0</v>
      </c>
      <c r="AF95" s="2">
        <f>IF(Table1[[#This Row],[PerformanceRating]]&lt;=2,3,0)</f>
        <v>0</v>
      </c>
      <c r="AG95" s="2">
        <f>IF(Table1[[#This Row],[OverTime]]="Yes",2,0)</f>
        <v>2</v>
      </c>
      <c r="AH95" s="2">
        <f>Table1[[#This Row],[Risk_Salary]]+Table1[[#This Row],[Risk_Tenure]]+Table1[[#This Row],[Risk_Performance]]+Table1[[#This Row],[Risk_Overtime]]</f>
        <v>2</v>
      </c>
      <c r="AI95" s="2" t="str">
        <f>IF(Table1[[#This Row],[Total_Risk_Score]]&gt;=6,"High",IF(Table1[[#This Row],[Total_Risk_Score]]&gt;=3,"Medium","Low"))</f>
        <v>Low</v>
      </c>
    </row>
    <row r="96" spans="1:35" x14ac:dyDescent="0.35">
      <c r="A96" t="s">
        <v>152</v>
      </c>
      <c r="B96" s="2">
        <v>32</v>
      </c>
      <c r="C96" s="2" t="s">
        <v>26</v>
      </c>
      <c r="D96" s="2" t="s">
        <v>22</v>
      </c>
      <c r="E96" s="2" t="s">
        <v>39</v>
      </c>
      <c r="F96" s="2">
        <v>6</v>
      </c>
      <c r="G96" s="2">
        <v>4</v>
      </c>
      <c r="H96" s="2" t="s">
        <v>31</v>
      </c>
      <c r="I96" s="2">
        <v>2</v>
      </c>
      <c r="J96" s="2" t="s">
        <v>28</v>
      </c>
      <c r="K96" s="2">
        <v>3</v>
      </c>
      <c r="L96" s="2">
        <v>2</v>
      </c>
      <c r="M96" s="2" t="s">
        <v>50</v>
      </c>
      <c r="N96" s="2">
        <v>3</v>
      </c>
      <c r="O96" s="2" t="s">
        <v>25</v>
      </c>
      <c r="P96" t="s">
        <v>49</v>
      </c>
      <c r="Q96" s="2" t="s">
        <v>48</v>
      </c>
      <c r="R96" s="2"/>
      <c r="S96" s="14">
        <v>5010</v>
      </c>
      <c r="T96" s="2">
        <v>1</v>
      </c>
      <c r="U96" s="2" t="s">
        <v>26</v>
      </c>
      <c r="V96" s="2">
        <v>3</v>
      </c>
      <c r="W96" s="2">
        <v>12</v>
      </c>
      <c r="X96" s="2">
        <v>0</v>
      </c>
      <c r="Y96" s="2">
        <v>3</v>
      </c>
      <c r="Z96" s="2">
        <v>11</v>
      </c>
      <c r="AA96" s="2">
        <v>8</v>
      </c>
      <c r="AB96" s="2">
        <v>5</v>
      </c>
      <c r="AC96" s="2">
        <v>7</v>
      </c>
      <c r="AD96" s="2">
        <f>IF(Table1[[#This Row],[Salary]]&lt;10000,2,0)</f>
        <v>2</v>
      </c>
      <c r="AE96" s="2">
        <f>IF(AND(Table1[[#This Row],[Tenure]]&gt;=2,Table1[[#This Row],[Tenure]]&lt;=4),2,0)</f>
        <v>0</v>
      </c>
      <c r="AF96" s="2">
        <f>IF(Table1[[#This Row],[PerformanceRating]]&lt;=2,3,0)</f>
        <v>0</v>
      </c>
      <c r="AG96" s="2">
        <f>IF(Table1[[#This Row],[OverTime]]="Yes",2,0)</f>
        <v>0</v>
      </c>
      <c r="AH96" s="2">
        <f>Table1[[#This Row],[Risk_Salary]]+Table1[[#This Row],[Risk_Tenure]]+Table1[[#This Row],[Risk_Performance]]+Table1[[#This Row],[Risk_Overtime]]</f>
        <v>2</v>
      </c>
      <c r="AI96" s="2" t="str">
        <f>IF(Table1[[#This Row],[Total_Risk_Score]]&gt;=6,"High",IF(Table1[[#This Row],[Total_Risk_Score]]&gt;=3,"Medium","Low"))</f>
        <v>Low</v>
      </c>
    </row>
    <row r="97" spans="1:35" x14ac:dyDescent="0.35">
      <c r="A97" t="s">
        <v>153</v>
      </c>
      <c r="B97" s="2">
        <v>54</v>
      </c>
      <c r="C97" s="2" t="s">
        <v>26</v>
      </c>
      <c r="D97" s="2" t="s">
        <v>22</v>
      </c>
      <c r="E97" s="2" t="s">
        <v>40</v>
      </c>
      <c r="F97" s="2">
        <v>2</v>
      </c>
      <c r="G97" s="2">
        <v>4</v>
      </c>
      <c r="H97" s="2" t="s">
        <v>35</v>
      </c>
      <c r="I97" s="2">
        <v>1</v>
      </c>
      <c r="J97" s="2" t="s">
        <v>24</v>
      </c>
      <c r="K97" s="2">
        <v>3</v>
      </c>
      <c r="L97" s="2">
        <v>3</v>
      </c>
      <c r="M97" s="2" t="s">
        <v>53</v>
      </c>
      <c r="N97" s="2">
        <v>3</v>
      </c>
      <c r="O97" s="2" t="s">
        <v>29</v>
      </c>
      <c r="P97" t="s">
        <v>39</v>
      </c>
      <c r="Q97" s="2" t="s">
        <v>47</v>
      </c>
      <c r="R97" s="2"/>
      <c r="S97" s="14">
        <v>13549</v>
      </c>
      <c r="T97" s="2">
        <v>9</v>
      </c>
      <c r="U97" s="2" t="s">
        <v>26</v>
      </c>
      <c r="V97" s="2">
        <v>3</v>
      </c>
      <c r="W97" s="2">
        <v>16</v>
      </c>
      <c r="X97" s="2">
        <v>5</v>
      </c>
      <c r="Y97" s="2">
        <v>1</v>
      </c>
      <c r="Z97" s="2">
        <v>4</v>
      </c>
      <c r="AA97" s="2">
        <v>3</v>
      </c>
      <c r="AB97" s="2">
        <v>0</v>
      </c>
      <c r="AC97" s="2">
        <v>3</v>
      </c>
      <c r="AD97" s="2">
        <f>IF(Table1[[#This Row],[Salary]]&lt;10000,2,0)</f>
        <v>0</v>
      </c>
      <c r="AE97" s="2">
        <f>IF(AND(Table1[[#This Row],[Tenure]]&gt;=2,Table1[[#This Row],[Tenure]]&lt;=4),2,0)</f>
        <v>2</v>
      </c>
      <c r="AF97" s="2">
        <f>IF(Table1[[#This Row],[PerformanceRating]]&lt;=2,3,0)</f>
        <v>0</v>
      </c>
      <c r="AG97" s="2">
        <f>IF(Table1[[#This Row],[OverTime]]="Yes",2,0)</f>
        <v>0</v>
      </c>
      <c r="AH97" s="2">
        <f>Table1[[#This Row],[Risk_Salary]]+Table1[[#This Row],[Risk_Tenure]]+Table1[[#This Row],[Risk_Performance]]+Table1[[#This Row],[Risk_Overtime]]</f>
        <v>2</v>
      </c>
      <c r="AI97" s="2" t="str">
        <f>IF(Table1[[#This Row],[Total_Risk_Score]]&gt;=6,"High",IF(Table1[[#This Row],[Total_Risk_Score]]&gt;=3,"Medium","Low"))</f>
        <v>Low</v>
      </c>
    </row>
    <row r="98" spans="1:35" x14ac:dyDescent="0.35">
      <c r="A98" t="s">
        <v>154</v>
      </c>
      <c r="B98" s="2">
        <v>24</v>
      </c>
      <c r="C98" s="2" t="s">
        <v>26</v>
      </c>
      <c r="D98" s="2" t="s">
        <v>22</v>
      </c>
      <c r="E98" s="2" t="s">
        <v>39</v>
      </c>
      <c r="F98" s="2">
        <v>3</v>
      </c>
      <c r="G98" s="2">
        <v>2</v>
      </c>
      <c r="H98" s="2" t="s">
        <v>30</v>
      </c>
      <c r="I98" s="2">
        <v>1</v>
      </c>
      <c r="J98" s="2" t="s">
        <v>24</v>
      </c>
      <c r="K98" s="2">
        <v>3</v>
      </c>
      <c r="L98" s="2">
        <v>2</v>
      </c>
      <c r="M98" s="2" t="s">
        <v>50</v>
      </c>
      <c r="N98" s="2">
        <v>3</v>
      </c>
      <c r="O98" s="2" t="s">
        <v>29</v>
      </c>
      <c r="P98" t="s">
        <v>39</v>
      </c>
      <c r="Q98" s="2" t="s">
        <v>47</v>
      </c>
      <c r="R98" s="2"/>
      <c r="S98" s="14">
        <v>4999</v>
      </c>
      <c r="T98" s="2">
        <v>0</v>
      </c>
      <c r="U98" s="2" t="s">
        <v>26</v>
      </c>
      <c r="V98" s="2">
        <v>4</v>
      </c>
      <c r="W98" s="2">
        <v>4</v>
      </c>
      <c r="X98" s="2">
        <v>2</v>
      </c>
      <c r="Y98" s="2">
        <v>2</v>
      </c>
      <c r="Z98" s="2">
        <v>3</v>
      </c>
      <c r="AA98" s="2">
        <v>2</v>
      </c>
      <c r="AB98" s="2">
        <v>0</v>
      </c>
      <c r="AC98" s="2">
        <v>2</v>
      </c>
      <c r="AD98" s="2">
        <f>IF(Table1[[#This Row],[Salary]]&lt;10000,2,0)</f>
        <v>2</v>
      </c>
      <c r="AE98" s="2">
        <f>IF(AND(Table1[[#This Row],[Tenure]]&gt;=2,Table1[[#This Row],[Tenure]]&lt;=4),2,0)</f>
        <v>2</v>
      </c>
      <c r="AF98" s="2">
        <f>IF(Table1[[#This Row],[PerformanceRating]]&lt;=2,3,0)</f>
        <v>0</v>
      </c>
      <c r="AG98" s="2">
        <f>IF(Table1[[#This Row],[OverTime]]="Yes",2,0)</f>
        <v>0</v>
      </c>
      <c r="AH98" s="2">
        <f>Table1[[#This Row],[Risk_Salary]]+Table1[[#This Row],[Risk_Tenure]]+Table1[[#This Row],[Risk_Performance]]+Table1[[#This Row],[Risk_Overtime]]</f>
        <v>4</v>
      </c>
      <c r="AI98" s="2" t="str">
        <f>IF(Table1[[#This Row],[Total_Risk_Score]]&gt;=6,"High",IF(Table1[[#This Row],[Total_Risk_Score]]&gt;=3,"Medium","Low"))</f>
        <v>Medium</v>
      </c>
    </row>
    <row r="99" spans="1:35" x14ac:dyDescent="0.35">
      <c r="A99" t="s">
        <v>155</v>
      </c>
      <c r="B99" s="2">
        <v>28</v>
      </c>
      <c r="C99" s="2" t="s">
        <v>26</v>
      </c>
      <c r="D99" s="2" t="s">
        <v>33</v>
      </c>
      <c r="E99" s="2" t="s">
        <v>39</v>
      </c>
      <c r="F99" s="2">
        <v>4</v>
      </c>
      <c r="G99" s="2">
        <v>3</v>
      </c>
      <c r="H99" s="2" t="s">
        <v>31</v>
      </c>
      <c r="I99" s="2">
        <v>2</v>
      </c>
      <c r="J99" s="2" t="s">
        <v>28</v>
      </c>
      <c r="K99" s="2">
        <v>3</v>
      </c>
      <c r="L99" s="2">
        <v>2</v>
      </c>
      <c r="M99" s="2" t="s">
        <v>50</v>
      </c>
      <c r="N99" s="2">
        <v>3</v>
      </c>
      <c r="O99" s="2" t="s">
        <v>29</v>
      </c>
      <c r="P99" t="s">
        <v>49</v>
      </c>
      <c r="Q99" s="2" t="s">
        <v>48</v>
      </c>
      <c r="R99" s="2"/>
      <c r="S99" s="14">
        <v>4221</v>
      </c>
      <c r="T99" s="2">
        <v>1</v>
      </c>
      <c r="U99" s="2" t="s">
        <v>26</v>
      </c>
      <c r="V99" s="2">
        <v>3</v>
      </c>
      <c r="W99" s="2">
        <v>5</v>
      </c>
      <c r="X99" s="2">
        <v>3</v>
      </c>
      <c r="Y99" s="2">
        <v>4</v>
      </c>
      <c r="Z99" s="2">
        <v>5</v>
      </c>
      <c r="AA99" s="2">
        <v>4</v>
      </c>
      <c r="AB99" s="2">
        <v>0</v>
      </c>
      <c r="AC99" s="2">
        <v>4</v>
      </c>
      <c r="AD99" s="2">
        <f>IF(Table1[[#This Row],[Salary]]&lt;10000,2,0)</f>
        <v>2</v>
      </c>
      <c r="AE99" s="2">
        <f>IF(AND(Table1[[#This Row],[Tenure]]&gt;=2,Table1[[#This Row],[Tenure]]&lt;=4),2,0)</f>
        <v>0</v>
      </c>
      <c r="AF99" s="2">
        <f>IF(Table1[[#This Row],[PerformanceRating]]&lt;=2,3,0)</f>
        <v>0</v>
      </c>
      <c r="AG99" s="2">
        <f>IF(Table1[[#This Row],[OverTime]]="Yes",2,0)</f>
        <v>0</v>
      </c>
      <c r="AH99" s="2">
        <f>Table1[[#This Row],[Risk_Salary]]+Table1[[#This Row],[Risk_Tenure]]+Table1[[#This Row],[Risk_Performance]]+Table1[[#This Row],[Risk_Overtime]]</f>
        <v>2</v>
      </c>
      <c r="AI99" s="2" t="str">
        <f>IF(Table1[[#This Row],[Total_Risk_Score]]&gt;=6,"High",IF(Table1[[#This Row],[Total_Risk_Score]]&gt;=3,"Medium","Low"))</f>
        <v>Low</v>
      </c>
    </row>
    <row r="100" spans="1:35" x14ac:dyDescent="0.35">
      <c r="A100" t="s">
        <v>156</v>
      </c>
      <c r="B100" s="2">
        <v>58</v>
      </c>
      <c r="C100" s="2" t="s">
        <v>26</v>
      </c>
      <c r="D100" s="2" t="s">
        <v>22</v>
      </c>
      <c r="E100" s="2" t="s">
        <v>39</v>
      </c>
      <c r="F100" s="2">
        <v>10</v>
      </c>
      <c r="G100" s="2">
        <v>4</v>
      </c>
      <c r="H100" s="2" t="s">
        <v>31</v>
      </c>
      <c r="I100" s="2">
        <v>4</v>
      </c>
      <c r="J100" s="2" t="s">
        <v>28</v>
      </c>
      <c r="K100" s="2">
        <v>3</v>
      </c>
      <c r="L100" s="2">
        <v>4</v>
      </c>
      <c r="M100" s="2" t="s">
        <v>50</v>
      </c>
      <c r="N100" s="2">
        <v>3</v>
      </c>
      <c r="O100" s="2" t="s">
        <v>25</v>
      </c>
      <c r="P100" t="s">
        <v>49</v>
      </c>
      <c r="Q100" s="2" t="s">
        <v>45</v>
      </c>
      <c r="R100" s="2"/>
      <c r="S100" s="14">
        <v>13872</v>
      </c>
      <c r="T100" s="2">
        <v>0</v>
      </c>
      <c r="U100" s="2" t="s">
        <v>26</v>
      </c>
      <c r="V100" s="2">
        <v>3</v>
      </c>
      <c r="W100" s="2">
        <v>38</v>
      </c>
      <c r="X100" s="2">
        <v>1</v>
      </c>
      <c r="Y100" s="2">
        <v>2</v>
      </c>
      <c r="Z100" s="2">
        <v>37</v>
      </c>
      <c r="AA100" s="2">
        <v>10</v>
      </c>
      <c r="AB100" s="2">
        <v>1</v>
      </c>
      <c r="AC100" s="2">
        <v>8</v>
      </c>
      <c r="AD100" s="2">
        <f>IF(Table1[[#This Row],[Salary]]&lt;10000,2,0)</f>
        <v>0</v>
      </c>
      <c r="AE100" s="2">
        <f>IF(AND(Table1[[#This Row],[Tenure]]&gt;=2,Table1[[#This Row],[Tenure]]&lt;=4),2,0)</f>
        <v>0</v>
      </c>
      <c r="AF100" s="2">
        <f>IF(Table1[[#This Row],[PerformanceRating]]&lt;=2,3,0)</f>
        <v>0</v>
      </c>
      <c r="AG100" s="2">
        <f>IF(Table1[[#This Row],[OverTime]]="Yes",2,0)</f>
        <v>0</v>
      </c>
      <c r="AH100" s="2">
        <f>Table1[[#This Row],[Risk_Salary]]+Table1[[#This Row],[Risk_Tenure]]+Table1[[#This Row],[Risk_Performance]]+Table1[[#This Row],[Risk_Overtime]]</f>
        <v>0</v>
      </c>
      <c r="AI100" s="2" t="str">
        <f>IF(Table1[[#This Row],[Total_Risk_Score]]&gt;=6,"High",IF(Table1[[#This Row],[Total_Risk_Score]]&gt;=3,"Medium","Low"))</f>
        <v>Low</v>
      </c>
    </row>
    <row r="101" spans="1:35" x14ac:dyDescent="0.35">
      <c r="A101" t="s">
        <v>157</v>
      </c>
      <c r="B101" s="2">
        <v>44</v>
      </c>
      <c r="C101" s="2" t="s">
        <v>26</v>
      </c>
      <c r="D101" s="2" t="s">
        <v>33</v>
      </c>
      <c r="E101" s="2" t="s">
        <v>40</v>
      </c>
      <c r="F101" s="2">
        <v>23</v>
      </c>
      <c r="G101" s="2">
        <v>3</v>
      </c>
      <c r="H101" s="2" t="s">
        <v>31</v>
      </c>
      <c r="I101" s="2">
        <v>2</v>
      </c>
      <c r="J101" s="2" t="s">
        <v>28</v>
      </c>
      <c r="K101" s="2">
        <v>3</v>
      </c>
      <c r="L101" s="2">
        <v>2</v>
      </c>
      <c r="M101" s="2" t="s">
        <v>50</v>
      </c>
      <c r="N101" s="2">
        <v>2</v>
      </c>
      <c r="O101" s="2" t="s">
        <v>29</v>
      </c>
      <c r="P101" t="s">
        <v>40</v>
      </c>
      <c r="Q101" s="2" t="s">
        <v>47</v>
      </c>
      <c r="R101" s="2"/>
      <c r="S101" s="14">
        <v>2042</v>
      </c>
      <c r="T101" s="2">
        <v>4</v>
      </c>
      <c r="U101" s="2" t="s">
        <v>26</v>
      </c>
      <c r="V101" s="2">
        <v>3</v>
      </c>
      <c r="W101" s="2">
        <v>17</v>
      </c>
      <c r="X101" s="2">
        <v>3</v>
      </c>
      <c r="Y101" s="2">
        <v>4</v>
      </c>
      <c r="Z101" s="2">
        <v>3</v>
      </c>
      <c r="AA101" s="2">
        <v>2</v>
      </c>
      <c r="AB101" s="2">
        <v>1</v>
      </c>
      <c r="AC101" s="2">
        <v>2</v>
      </c>
      <c r="AD101" s="2">
        <f>IF(Table1[[#This Row],[Salary]]&lt;10000,2,0)</f>
        <v>2</v>
      </c>
      <c r="AE101" s="2">
        <f>IF(AND(Table1[[#This Row],[Tenure]]&gt;=2,Table1[[#This Row],[Tenure]]&lt;=4),2,0)</f>
        <v>2</v>
      </c>
      <c r="AF101" s="2">
        <f>IF(Table1[[#This Row],[PerformanceRating]]&lt;=2,3,0)</f>
        <v>0</v>
      </c>
      <c r="AG101" s="2">
        <f>IF(Table1[[#This Row],[OverTime]]="Yes",2,0)</f>
        <v>0</v>
      </c>
      <c r="AH101" s="2">
        <f>Table1[[#This Row],[Risk_Salary]]+Table1[[#This Row],[Risk_Tenure]]+Table1[[#This Row],[Risk_Performance]]+Table1[[#This Row],[Risk_Overtime]]</f>
        <v>4</v>
      </c>
      <c r="AI101" s="2" t="str">
        <f>IF(Table1[[#This Row],[Total_Risk_Score]]&gt;=6,"High",IF(Table1[[#This Row],[Total_Risk_Score]]&gt;=3,"Medium","Low"))</f>
        <v>Medium</v>
      </c>
    </row>
    <row r="102" spans="1:35" x14ac:dyDescent="0.35">
      <c r="A102" t="s">
        <v>158</v>
      </c>
      <c r="B102" s="2">
        <v>37</v>
      </c>
      <c r="C102" s="2" t="s">
        <v>21</v>
      </c>
      <c r="D102" s="2" t="s">
        <v>22</v>
      </c>
      <c r="E102" s="2" t="s">
        <v>40</v>
      </c>
      <c r="F102" s="2">
        <v>6</v>
      </c>
      <c r="G102" s="2">
        <v>4</v>
      </c>
      <c r="H102" s="2" t="s">
        <v>53</v>
      </c>
      <c r="I102" s="2">
        <v>3</v>
      </c>
      <c r="J102" s="2" t="s">
        <v>28</v>
      </c>
      <c r="K102" s="2">
        <v>3</v>
      </c>
      <c r="L102" s="2">
        <v>1</v>
      </c>
      <c r="M102" s="2" t="s">
        <v>53</v>
      </c>
      <c r="N102" s="2">
        <v>1</v>
      </c>
      <c r="O102" s="2" t="s">
        <v>32</v>
      </c>
      <c r="P102" t="s">
        <v>40</v>
      </c>
      <c r="Q102" s="2" t="s">
        <v>46</v>
      </c>
      <c r="R102" s="2"/>
      <c r="S102" s="14">
        <v>2073</v>
      </c>
      <c r="T102" s="2">
        <v>4</v>
      </c>
      <c r="U102" s="2" t="s">
        <v>21</v>
      </c>
      <c r="V102" s="2">
        <v>4</v>
      </c>
      <c r="W102" s="2">
        <v>7</v>
      </c>
      <c r="X102" s="2">
        <v>3</v>
      </c>
      <c r="Y102" s="2">
        <v>3</v>
      </c>
      <c r="Z102" s="2">
        <v>3</v>
      </c>
      <c r="AA102" s="2">
        <v>2</v>
      </c>
      <c r="AB102" s="2">
        <v>0</v>
      </c>
      <c r="AC102" s="2">
        <v>2</v>
      </c>
      <c r="AD102" s="2">
        <f>IF(Table1[[#This Row],[Salary]]&lt;10000,2,0)</f>
        <v>2</v>
      </c>
      <c r="AE102" s="2">
        <f>IF(AND(Table1[[#This Row],[Tenure]]&gt;=2,Table1[[#This Row],[Tenure]]&lt;=4),2,0)</f>
        <v>2</v>
      </c>
      <c r="AF102" s="2">
        <f>IF(Table1[[#This Row],[PerformanceRating]]&lt;=2,3,0)</f>
        <v>0</v>
      </c>
      <c r="AG102" s="2">
        <f>IF(Table1[[#This Row],[OverTime]]="Yes",2,0)</f>
        <v>2</v>
      </c>
      <c r="AH102" s="2">
        <f>Table1[[#This Row],[Risk_Salary]]+Table1[[#This Row],[Risk_Tenure]]+Table1[[#This Row],[Risk_Performance]]+Table1[[#This Row],[Risk_Overtime]]</f>
        <v>6</v>
      </c>
      <c r="AI102" s="2" t="str">
        <f>IF(Table1[[#This Row],[Total_Risk_Score]]&gt;=6,"High",IF(Table1[[#This Row],[Total_Risk_Score]]&gt;=3,"Medium","Low"))</f>
        <v>High</v>
      </c>
    </row>
    <row r="103" spans="1:35" x14ac:dyDescent="0.35">
      <c r="A103" t="s">
        <v>159</v>
      </c>
      <c r="B103" s="2">
        <v>32</v>
      </c>
      <c r="C103" s="2" t="s">
        <v>26</v>
      </c>
      <c r="D103" s="2" t="s">
        <v>22</v>
      </c>
      <c r="E103" s="2" t="s">
        <v>40</v>
      </c>
      <c r="F103" s="2">
        <v>1</v>
      </c>
      <c r="G103" s="2">
        <v>1</v>
      </c>
      <c r="H103" s="2" t="s">
        <v>23</v>
      </c>
      <c r="I103" s="2">
        <v>4</v>
      </c>
      <c r="J103" s="2" t="s">
        <v>28</v>
      </c>
      <c r="K103" s="2">
        <v>3</v>
      </c>
      <c r="L103" s="2">
        <v>1</v>
      </c>
      <c r="M103" s="2" t="s">
        <v>50</v>
      </c>
      <c r="N103" s="2">
        <v>1</v>
      </c>
      <c r="O103" s="2" t="s">
        <v>25</v>
      </c>
      <c r="P103" t="s">
        <v>39</v>
      </c>
      <c r="Q103" s="2" t="s">
        <v>48</v>
      </c>
      <c r="R103" s="2"/>
      <c r="S103" s="14">
        <v>2956</v>
      </c>
      <c r="T103" s="2">
        <v>1</v>
      </c>
      <c r="U103" s="2" t="s">
        <v>26</v>
      </c>
      <c r="V103" s="2">
        <v>3</v>
      </c>
      <c r="W103" s="2">
        <v>1</v>
      </c>
      <c r="X103" s="2">
        <v>2</v>
      </c>
      <c r="Y103" s="2">
        <v>3</v>
      </c>
      <c r="Z103" s="2">
        <v>1</v>
      </c>
      <c r="AA103" s="2">
        <v>0</v>
      </c>
      <c r="AB103" s="2">
        <v>0</v>
      </c>
      <c r="AC103" s="2">
        <v>0</v>
      </c>
      <c r="AD103" s="2">
        <f>IF(Table1[[#This Row],[Salary]]&lt;10000,2,0)</f>
        <v>2</v>
      </c>
      <c r="AE103" s="2">
        <f>IF(AND(Table1[[#This Row],[Tenure]]&gt;=2,Table1[[#This Row],[Tenure]]&lt;=4),2,0)</f>
        <v>0</v>
      </c>
      <c r="AF103" s="2">
        <f>IF(Table1[[#This Row],[PerformanceRating]]&lt;=2,3,0)</f>
        <v>0</v>
      </c>
      <c r="AG103" s="2">
        <f>IF(Table1[[#This Row],[OverTime]]="Yes",2,0)</f>
        <v>0</v>
      </c>
      <c r="AH103" s="2">
        <f>Table1[[#This Row],[Risk_Salary]]+Table1[[#This Row],[Risk_Tenure]]+Table1[[#This Row],[Risk_Performance]]+Table1[[#This Row],[Risk_Overtime]]</f>
        <v>2</v>
      </c>
      <c r="AI103" s="2" t="str">
        <f>IF(Table1[[#This Row],[Total_Risk_Score]]&gt;=6,"High",IF(Table1[[#This Row],[Total_Risk_Score]]&gt;=3,"Medium","Low"))</f>
        <v>Low</v>
      </c>
    </row>
    <row r="104" spans="1:35" x14ac:dyDescent="0.35">
      <c r="A104" t="s">
        <v>160</v>
      </c>
      <c r="B104" s="2">
        <v>20</v>
      </c>
      <c r="C104" s="2" t="s">
        <v>21</v>
      </c>
      <c r="D104" s="2" t="s">
        <v>27</v>
      </c>
      <c r="E104" s="2" t="s">
        <v>40</v>
      </c>
      <c r="F104" s="2">
        <v>6</v>
      </c>
      <c r="G104" s="2">
        <v>3</v>
      </c>
      <c r="H104" s="2" t="s">
        <v>23</v>
      </c>
      <c r="I104" s="2">
        <v>4</v>
      </c>
      <c r="J104" s="2" t="s">
        <v>24</v>
      </c>
      <c r="K104" s="2">
        <v>2</v>
      </c>
      <c r="L104" s="2">
        <v>1</v>
      </c>
      <c r="M104" s="2" t="s">
        <v>50</v>
      </c>
      <c r="N104" s="2">
        <v>4</v>
      </c>
      <c r="O104" s="2" t="s">
        <v>25</v>
      </c>
      <c r="P104" t="s">
        <v>49</v>
      </c>
      <c r="Q104" s="2" t="s">
        <v>47</v>
      </c>
      <c r="R104" s="2"/>
      <c r="S104" s="14">
        <v>2926</v>
      </c>
      <c r="T104" s="2">
        <v>1</v>
      </c>
      <c r="U104" s="2" t="s">
        <v>21</v>
      </c>
      <c r="V104" s="2">
        <v>3</v>
      </c>
      <c r="W104" s="2">
        <v>1</v>
      </c>
      <c r="X104" s="2">
        <v>5</v>
      </c>
      <c r="Y104" s="2">
        <v>3</v>
      </c>
      <c r="Z104" s="2">
        <v>1</v>
      </c>
      <c r="AA104" s="2">
        <v>0</v>
      </c>
      <c r="AB104" s="2">
        <v>1</v>
      </c>
      <c r="AC104" s="2">
        <v>0</v>
      </c>
      <c r="AD104" s="2">
        <f>IF(Table1[[#This Row],[Salary]]&lt;10000,2,0)</f>
        <v>2</v>
      </c>
      <c r="AE104" s="2">
        <f>IF(AND(Table1[[#This Row],[Tenure]]&gt;=2,Table1[[#This Row],[Tenure]]&lt;=4),2,0)</f>
        <v>0</v>
      </c>
      <c r="AF104" s="2">
        <f>IF(Table1[[#This Row],[PerformanceRating]]&lt;=2,3,0)</f>
        <v>0</v>
      </c>
      <c r="AG104" s="2">
        <f>IF(Table1[[#This Row],[OverTime]]="Yes",2,0)</f>
        <v>2</v>
      </c>
      <c r="AH104" s="2">
        <f>Table1[[#This Row],[Risk_Salary]]+Table1[[#This Row],[Risk_Tenure]]+Table1[[#This Row],[Risk_Performance]]+Table1[[#This Row],[Risk_Overtime]]</f>
        <v>4</v>
      </c>
      <c r="AI104" s="2" t="str">
        <f>IF(Table1[[#This Row],[Total_Risk_Score]]&gt;=6,"High",IF(Table1[[#This Row],[Total_Risk_Score]]&gt;=3,"Medium","Low"))</f>
        <v>Medium</v>
      </c>
    </row>
    <row r="105" spans="1:35" x14ac:dyDescent="0.35">
      <c r="A105" t="s">
        <v>161</v>
      </c>
      <c r="B105" s="2">
        <v>34</v>
      </c>
      <c r="C105" s="2" t="s">
        <v>26</v>
      </c>
      <c r="D105" s="2" t="s">
        <v>22</v>
      </c>
      <c r="E105" s="2" t="s">
        <v>40</v>
      </c>
      <c r="F105" s="2">
        <v>6</v>
      </c>
      <c r="G105" s="2">
        <v>4</v>
      </c>
      <c r="H105" s="2" t="s">
        <v>30</v>
      </c>
      <c r="I105" s="2">
        <v>1</v>
      </c>
      <c r="J105" s="2" t="s">
        <v>24</v>
      </c>
      <c r="K105" s="2">
        <v>3</v>
      </c>
      <c r="L105" s="2">
        <v>2</v>
      </c>
      <c r="M105" s="2" t="s">
        <v>50</v>
      </c>
      <c r="N105" s="2">
        <v>3</v>
      </c>
      <c r="O105" s="2" t="s">
        <v>25</v>
      </c>
      <c r="P105" t="s">
        <v>49</v>
      </c>
      <c r="Q105" s="2" t="s">
        <v>46</v>
      </c>
      <c r="R105" s="2"/>
      <c r="S105" s="14">
        <v>4809</v>
      </c>
      <c r="T105" s="2">
        <v>1</v>
      </c>
      <c r="U105" s="2" t="s">
        <v>26</v>
      </c>
      <c r="V105" s="2">
        <v>3</v>
      </c>
      <c r="W105" s="2">
        <v>16</v>
      </c>
      <c r="X105" s="2">
        <v>3</v>
      </c>
      <c r="Y105" s="2">
        <v>3</v>
      </c>
      <c r="Z105" s="2">
        <v>16</v>
      </c>
      <c r="AA105" s="2">
        <v>13</v>
      </c>
      <c r="AB105" s="2">
        <v>2</v>
      </c>
      <c r="AC105" s="2">
        <v>10</v>
      </c>
      <c r="AD105" s="2">
        <f>IF(Table1[[#This Row],[Salary]]&lt;10000,2,0)</f>
        <v>2</v>
      </c>
      <c r="AE105" s="2">
        <f>IF(AND(Table1[[#This Row],[Tenure]]&gt;=2,Table1[[#This Row],[Tenure]]&lt;=4),2,0)</f>
        <v>0</v>
      </c>
      <c r="AF105" s="2">
        <f>IF(Table1[[#This Row],[PerformanceRating]]&lt;=2,3,0)</f>
        <v>0</v>
      </c>
      <c r="AG105" s="2">
        <f>IF(Table1[[#This Row],[OverTime]]="Yes",2,0)</f>
        <v>0</v>
      </c>
      <c r="AH105" s="2">
        <f>Table1[[#This Row],[Risk_Salary]]+Table1[[#This Row],[Risk_Tenure]]+Table1[[#This Row],[Risk_Performance]]+Table1[[#This Row],[Risk_Overtime]]</f>
        <v>2</v>
      </c>
      <c r="AI105" s="2" t="str">
        <f>IF(Table1[[#This Row],[Total_Risk_Score]]&gt;=6,"High",IF(Table1[[#This Row],[Total_Risk_Score]]&gt;=3,"Medium","Low"))</f>
        <v>Low</v>
      </c>
    </row>
    <row r="106" spans="1:35" x14ac:dyDescent="0.35">
      <c r="A106" t="s">
        <v>162</v>
      </c>
      <c r="B106" s="2">
        <v>37</v>
      </c>
      <c r="C106" s="2" t="s">
        <v>26</v>
      </c>
      <c r="D106" s="2" t="s">
        <v>33</v>
      </c>
      <c r="E106" s="2" t="s">
        <v>40</v>
      </c>
      <c r="F106" s="2">
        <v>2</v>
      </c>
      <c r="G106" s="2">
        <v>2</v>
      </c>
      <c r="H106" s="2" t="s">
        <v>23</v>
      </c>
      <c r="I106" s="2">
        <v>3</v>
      </c>
      <c r="J106" s="2" t="s">
        <v>28</v>
      </c>
      <c r="K106" s="2">
        <v>2</v>
      </c>
      <c r="L106" s="2">
        <v>2</v>
      </c>
      <c r="M106" s="2" t="s">
        <v>53</v>
      </c>
      <c r="N106" s="2">
        <v>4</v>
      </c>
      <c r="O106" s="2" t="s">
        <v>32</v>
      </c>
      <c r="P106" t="s">
        <v>40</v>
      </c>
      <c r="Q106" s="2" t="s">
        <v>48</v>
      </c>
      <c r="R106" s="2"/>
      <c r="S106" s="14">
        <v>5163</v>
      </c>
      <c r="T106" s="2">
        <v>5</v>
      </c>
      <c r="U106" s="2" t="s">
        <v>26</v>
      </c>
      <c r="V106" s="2">
        <v>3</v>
      </c>
      <c r="W106" s="2">
        <v>17</v>
      </c>
      <c r="X106" s="2">
        <v>2</v>
      </c>
      <c r="Y106" s="2">
        <v>4</v>
      </c>
      <c r="Z106" s="2">
        <v>1</v>
      </c>
      <c r="AA106" s="2">
        <v>0</v>
      </c>
      <c r="AB106" s="2">
        <v>0</v>
      </c>
      <c r="AC106" s="2">
        <v>0</v>
      </c>
      <c r="AD106" s="2">
        <f>IF(Table1[[#This Row],[Salary]]&lt;10000,2,0)</f>
        <v>2</v>
      </c>
      <c r="AE106" s="2">
        <f>IF(AND(Table1[[#This Row],[Tenure]]&gt;=2,Table1[[#This Row],[Tenure]]&lt;=4),2,0)</f>
        <v>0</v>
      </c>
      <c r="AF106" s="2">
        <f>IF(Table1[[#This Row],[PerformanceRating]]&lt;=2,3,0)</f>
        <v>0</v>
      </c>
      <c r="AG106" s="2">
        <f>IF(Table1[[#This Row],[OverTime]]="Yes",2,0)</f>
        <v>0</v>
      </c>
      <c r="AH106" s="2">
        <f>Table1[[#This Row],[Risk_Salary]]+Table1[[#This Row],[Risk_Tenure]]+Table1[[#This Row],[Risk_Performance]]+Table1[[#This Row],[Risk_Overtime]]</f>
        <v>2</v>
      </c>
      <c r="AI106" s="2" t="str">
        <f>IF(Table1[[#This Row],[Total_Risk_Score]]&gt;=6,"High",IF(Table1[[#This Row],[Total_Risk_Score]]&gt;=3,"Medium","Low"))</f>
        <v>Low</v>
      </c>
    </row>
    <row r="107" spans="1:35" x14ac:dyDescent="0.35">
      <c r="A107" t="s">
        <v>163</v>
      </c>
      <c r="B107" s="2">
        <v>59</v>
      </c>
      <c r="C107" s="2" t="s">
        <v>26</v>
      </c>
      <c r="D107" s="2" t="s">
        <v>33</v>
      </c>
      <c r="E107" s="2" t="s">
        <v>41</v>
      </c>
      <c r="F107" s="2">
        <v>2</v>
      </c>
      <c r="G107" s="2">
        <v>4</v>
      </c>
      <c r="H107" s="2" t="s">
        <v>41</v>
      </c>
      <c r="I107" s="2">
        <v>3</v>
      </c>
      <c r="J107" s="2" t="s">
        <v>24</v>
      </c>
      <c r="K107" s="2">
        <v>2</v>
      </c>
      <c r="L107" s="2">
        <v>5</v>
      </c>
      <c r="M107" s="2" t="s">
        <v>51</v>
      </c>
      <c r="N107" s="2">
        <v>4</v>
      </c>
      <c r="O107" s="2" t="s">
        <v>29</v>
      </c>
      <c r="P107" t="s">
        <v>40</v>
      </c>
      <c r="Q107" s="2" t="s">
        <v>47</v>
      </c>
      <c r="R107" s="2"/>
      <c r="S107" s="14">
        <v>18844</v>
      </c>
      <c r="T107" s="2">
        <v>9</v>
      </c>
      <c r="U107" s="2" t="s">
        <v>26</v>
      </c>
      <c r="V107" s="2">
        <v>4</v>
      </c>
      <c r="W107" s="2">
        <v>30</v>
      </c>
      <c r="X107" s="2">
        <v>3</v>
      </c>
      <c r="Y107" s="2">
        <v>3</v>
      </c>
      <c r="Z107" s="2">
        <v>3</v>
      </c>
      <c r="AA107" s="2">
        <v>2</v>
      </c>
      <c r="AB107" s="2">
        <v>2</v>
      </c>
      <c r="AC107" s="2">
        <v>2</v>
      </c>
      <c r="AD107" s="2">
        <f>IF(Table1[[#This Row],[Salary]]&lt;10000,2,0)</f>
        <v>0</v>
      </c>
      <c r="AE107" s="2">
        <f>IF(AND(Table1[[#This Row],[Tenure]]&gt;=2,Table1[[#This Row],[Tenure]]&lt;=4),2,0)</f>
        <v>2</v>
      </c>
      <c r="AF107" s="2">
        <f>IF(Table1[[#This Row],[PerformanceRating]]&lt;=2,3,0)</f>
        <v>0</v>
      </c>
      <c r="AG107" s="2">
        <f>IF(Table1[[#This Row],[OverTime]]="Yes",2,0)</f>
        <v>0</v>
      </c>
      <c r="AH107" s="2">
        <f>Table1[[#This Row],[Risk_Salary]]+Table1[[#This Row],[Risk_Tenure]]+Table1[[#This Row],[Risk_Performance]]+Table1[[#This Row],[Risk_Overtime]]</f>
        <v>2</v>
      </c>
      <c r="AI107" s="2" t="str">
        <f>IF(Table1[[#This Row],[Total_Risk_Score]]&gt;=6,"High",IF(Table1[[#This Row],[Total_Risk_Score]]&gt;=3,"Medium","Low"))</f>
        <v>Low</v>
      </c>
    </row>
    <row r="108" spans="1:35" x14ac:dyDescent="0.35">
      <c r="A108" t="s">
        <v>164</v>
      </c>
      <c r="B108" s="2">
        <v>50</v>
      </c>
      <c r="C108" s="2" t="s">
        <v>26</v>
      </c>
      <c r="D108" s="2" t="s">
        <v>27</v>
      </c>
      <c r="E108" s="2" t="s">
        <v>40</v>
      </c>
      <c r="F108" s="2">
        <v>1</v>
      </c>
      <c r="G108" s="2">
        <v>3</v>
      </c>
      <c r="H108" s="2" t="s">
        <v>23</v>
      </c>
      <c r="I108" s="2">
        <v>1</v>
      </c>
      <c r="J108" s="2" t="s">
        <v>24</v>
      </c>
      <c r="K108" s="2">
        <v>3</v>
      </c>
      <c r="L108" s="2">
        <v>5</v>
      </c>
      <c r="M108" s="2" t="s">
        <v>53</v>
      </c>
      <c r="N108" s="2">
        <v>2</v>
      </c>
      <c r="O108" s="2" t="s">
        <v>29</v>
      </c>
      <c r="P108" t="s">
        <v>49</v>
      </c>
      <c r="Q108" s="2" t="s">
        <v>47</v>
      </c>
      <c r="R108" s="2"/>
      <c r="S108" s="14">
        <v>18172</v>
      </c>
      <c r="T108" s="2">
        <v>3</v>
      </c>
      <c r="U108" s="2" t="s">
        <v>21</v>
      </c>
      <c r="V108" s="2">
        <v>2</v>
      </c>
      <c r="W108" s="2">
        <v>28</v>
      </c>
      <c r="X108" s="2">
        <v>1</v>
      </c>
      <c r="Y108" s="2">
        <v>2</v>
      </c>
      <c r="Z108" s="2">
        <v>8</v>
      </c>
      <c r="AA108" s="2">
        <v>3</v>
      </c>
      <c r="AB108" s="2">
        <v>0</v>
      </c>
      <c r="AC108" s="2">
        <v>7</v>
      </c>
      <c r="AD108" s="2">
        <f>IF(Table1[[#This Row],[Salary]]&lt;10000,2,0)</f>
        <v>0</v>
      </c>
      <c r="AE108" s="2">
        <f>IF(AND(Table1[[#This Row],[Tenure]]&gt;=2,Table1[[#This Row],[Tenure]]&lt;=4),2,0)</f>
        <v>0</v>
      </c>
      <c r="AF108" s="2">
        <f>IF(Table1[[#This Row],[PerformanceRating]]&lt;=2,3,0)</f>
        <v>3</v>
      </c>
      <c r="AG108" s="2">
        <f>IF(Table1[[#This Row],[OverTime]]="Yes",2,0)</f>
        <v>2</v>
      </c>
      <c r="AH108" s="2">
        <f>Table1[[#This Row],[Risk_Salary]]+Table1[[#This Row],[Risk_Tenure]]+Table1[[#This Row],[Risk_Performance]]+Table1[[#This Row],[Risk_Overtime]]</f>
        <v>5</v>
      </c>
      <c r="AI108" s="2" t="str">
        <f>IF(Table1[[#This Row],[Total_Risk_Score]]&gt;=6,"High",IF(Table1[[#This Row],[Total_Risk_Score]]&gt;=3,"Medium","Low"))</f>
        <v>Medium</v>
      </c>
    </row>
    <row r="109" spans="1:35" x14ac:dyDescent="0.35">
      <c r="A109" t="s">
        <v>165</v>
      </c>
      <c r="B109" s="2">
        <v>25</v>
      </c>
      <c r="C109" s="2" t="s">
        <v>21</v>
      </c>
      <c r="D109" s="2" t="s">
        <v>22</v>
      </c>
      <c r="E109" s="2" t="s">
        <v>39</v>
      </c>
      <c r="F109" s="2">
        <v>5</v>
      </c>
      <c r="G109" s="2">
        <v>3</v>
      </c>
      <c r="H109" s="2" t="s">
        <v>34</v>
      </c>
      <c r="I109" s="2">
        <v>3</v>
      </c>
      <c r="J109" s="2" t="s">
        <v>28</v>
      </c>
      <c r="K109" s="2">
        <v>2</v>
      </c>
      <c r="L109" s="2">
        <v>2</v>
      </c>
      <c r="M109" s="2" t="s">
        <v>50</v>
      </c>
      <c r="N109" s="2">
        <v>3</v>
      </c>
      <c r="O109" s="2" t="s">
        <v>25</v>
      </c>
      <c r="P109" t="s">
        <v>40</v>
      </c>
      <c r="Q109" s="2" t="s">
        <v>48</v>
      </c>
      <c r="R109" s="2"/>
      <c r="S109" s="14">
        <v>5744</v>
      </c>
      <c r="T109" s="2">
        <v>1</v>
      </c>
      <c r="U109" s="2" t="s">
        <v>21</v>
      </c>
      <c r="V109" s="2">
        <v>1</v>
      </c>
      <c r="W109" s="2">
        <v>6</v>
      </c>
      <c r="X109" s="2">
        <v>1</v>
      </c>
      <c r="Y109" s="2">
        <v>3</v>
      </c>
      <c r="Z109" s="2">
        <v>6</v>
      </c>
      <c r="AA109" s="2">
        <v>4</v>
      </c>
      <c r="AB109" s="2">
        <v>0</v>
      </c>
      <c r="AC109" s="2">
        <v>3</v>
      </c>
      <c r="AD109" s="2">
        <f>IF(Table1[[#This Row],[Salary]]&lt;10000,2,0)</f>
        <v>2</v>
      </c>
      <c r="AE109" s="2">
        <f>IF(AND(Table1[[#This Row],[Tenure]]&gt;=2,Table1[[#This Row],[Tenure]]&lt;=4),2,0)</f>
        <v>0</v>
      </c>
      <c r="AF109" s="2">
        <f>IF(Table1[[#This Row],[PerformanceRating]]&lt;=2,3,0)</f>
        <v>3</v>
      </c>
      <c r="AG109" s="2">
        <f>IF(Table1[[#This Row],[OverTime]]="Yes",2,0)</f>
        <v>2</v>
      </c>
      <c r="AH109" s="2">
        <f>Table1[[#This Row],[Risk_Salary]]+Table1[[#This Row],[Risk_Tenure]]+Table1[[#This Row],[Risk_Performance]]+Table1[[#This Row],[Risk_Overtime]]</f>
        <v>7</v>
      </c>
      <c r="AI109" s="2" t="str">
        <f>IF(Table1[[#This Row],[Total_Risk_Score]]&gt;=6,"High",IF(Table1[[#This Row],[Total_Risk_Score]]&gt;=3,"Medium","Low"))</f>
        <v>High</v>
      </c>
    </row>
    <row r="110" spans="1:35" x14ac:dyDescent="0.35">
      <c r="A110" t="s">
        <v>166</v>
      </c>
      <c r="B110" s="2">
        <v>25</v>
      </c>
      <c r="C110" s="2" t="s">
        <v>26</v>
      </c>
      <c r="D110" s="2" t="s">
        <v>22</v>
      </c>
      <c r="E110" s="2" t="s">
        <v>40</v>
      </c>
      <c r="F110" s="2">
        <v>7</v>
      </c>
      <c r="G110" s="2">
        <v>1</v>
      </c>
      <c r="H110" s="2" t="s">
        <v>31</v>
      </c>
      <c r="I110" s="2">
        <v>4</v>
      </c>
      <c r="J110" s="2" t="s">
        <v>28</v>
      </c>
      <c r="K110" s="2">
        <v>2</v>
      </c>
      <c r="L110" s="2">
        <v>1</v>
      </c>
      <c r="M110" s="2" t="s">
        <v>50</v>
      </c>
      <c r="N110" s="2">
        <v>4</v>
      </c>
      <c r="O110" s="2" t="s">
        <v>29</v>
      </c>
      <c r="P110" t="s">
        <v>40</v>
      </c>
      <c r="Q110" s="2" t="s">
        <v>45</v>
      </c>
      <c r="R110" s="2"/>
      <c r="S110" s="14">
        <v>2889</v>
      </c>
      <c r="T110" s="2">
        <v>1</v>
      </c>
      <c r="U110" s="2" t="s">
        <v>26</v>
      </c>
      <c r="V110" s="2">
        <v>3</v>
      </c>
      <c r="W110" s="2">
        <v>2</v>
      </c>
      <c r="X110" s="2">
        <v>2</v>
      </c>
      <c r="Y110" s="2">
        <v>3</v>
      </c>
      <c r="Z110" s="2">
        <v>2</v>
      </c>
      <c r="AA110" s="2">
        <v>2</v>
      </c>
      <c r="AB110" s="2">
        <v>2</v>
      </c>
      <c r="AC110" s="2">
        <v>1</v>
      </c>
      <c r="AD110" s="2">
        <f>IF(Table1[[#This Row],[Salary]]&lt;10000,2,0)</f>
        <v>2</v>
      </c>
      <c r="AE110" s="2">
        <f>IF(AND(Table1[[#This Row],[Tenure]]&gt;=2,Table1[[#This Row],[Tenure]]&lt;=4),2,0)</f>
        <v>2</v>
      </c>
      <c r="AF110" s="2">
        <f>IF(Table1[[#This Row],[PerformanceRating]]&lt;=2,3,0)</f>
        <v>0</v>
      </c>
      <c r="AG110" s="2">
        <f>IF(Table1[[#This Row],[OverTime]]="Yes",2,0)</f>
        <v>0</v>
      </c>
      <c r="AH110" s="2">
        <f>Table1[[#This Row],[Risk_Salary]]+Table1[[#This Row],[Risk_Tenure]]+Table1[[#This Row],[Risk_Performance]]+Table1[[#This Row],[Risk_Overtime]]</f>
        <v>4</v>
      </c>
      <c r="AI110" s="2" t="str">
        <f>IF(Table1[[#This Row],[Total_Risk_Score]]&gt;=6,"High",IF(Table1[[#This Row],[Total_Risk_Score]]&gt;=3,"Medium","Low"))</f>
        <v>Medium</v>
      </c>
    </row>
    <row r="111" spans="1:35" x14ac:dyDescent="0.35">
      <c r="A111" t="s">
        <v>167</v>
      </c>
      <c r="B111" s="2">
        <v>22</v>
      </c>
      <c r="C111" s="2" t="s">
        <v>26</v>
      </c>
      <c r="D111" s="2" t="s">
        <v>22</v>
      </c>
      <c r="E111" s="2" t="s">
        <v>40</v>
      </c>
      <c r="F111" s="2">
        <v>15</v>
      </c>
      <c r="G111" s="2">
        <v>3</v>
      </c>
      <c r="H111" s="2" t="s">
        <v>31</v>
      </c>
      <c r="I111" s="2">
        <v>2</v>
      </c>
      <c r="J111" s="2" t="s">
        <v>24</v>
      </c>
      <c r="K111" s="2">
        <v>3</v>
      </c>
      <c r="L111" s="2">
        <v>1</v>
      </c>
      <c r="M111" s="2" t="s">
        <v>50</v>
      </c>
      <c r="N111" s="2">
        <v>4</v>
      </c>
      <c r="O111" s="2" t="s">
        <v>25</v>
      </c>
      <c r="P111" t="s">
        <v>39</v>
      </c>
      <c r="Q111" s="2" t="s">
        <v>47</v>
      </c>
      <c r="R111" s="2"/>
      <c r="S111" s="14">
        <v>2871</v>
      </c>
      <c r="T111" s="2">
        <v>1</v>
      </c>
      <c r="U111" s="2" t="s">
        <v>26</v>
      </c>
      <c r="V111" s="2">
        <v>3</v>
      </c>
      <c r="W111" s="2">
        <v>1</v>
      </c>
      <c r="X111" s="2">
        <v>5</v>
      </c>
      <c r="Y111" s="2">
        <v>3</v>
      </c>
      <c r="Z111" s="2">
        <v>0</v>
      </c>
      <c r="AA111" s="2">
        <v>0</v>
      </c>
      <c r="AB111" s="2">
        <v>0</v>
      </c>
      <c r="AC111" s="2">
        <v>0</v>
      </c>
      <c r="AD111" s="2">
        <f>IF(Table1[[#This Row],[Salary]]&lt;10000,2,0)</f>
        <v>2</v>
      </c>
      <c r="AE111" s="2">
        <f>IF(AND(Table1[[#This Row],[Tenure]]&gt;=2,Table1[[#This Row],[Tenure]]&lt;=4),2,0)</f>
        <v>0</v>
      </c>
      <c r="AF111" s="2">
        <f>IF(Table1[[#This Row],[PerformanceRating]]&lt;=2,3,0)</f>
        <v>0</v>
      </c>
      <c r="AG111" s="2">
        <f>IF(Table1[[#This Row],[OverTime]]="Yes",2,0)</f>
        <v>0</v>
      </c>
      <c r="AH111" s="2">
        <f>Table1[[#This Row],[Risk_Salary]]+Table1[[#This Row],[Risk_Tenure]]+Table1[[#This Row],[Risk_Performance]]+Table1[[#This Row],[Risk_Overtime]]</f>
        <v>2</v>
      </c>
      <c r="AI111" s="2" t="str">
        <f>IF(Table1[[#This Row],[Total_Risk_Score]]&gt;=6,"High",IF(Table1[[#This Row],[Total_Risk_Score]]&gt;=3,"Medium","Low"))</f>
        <v>Low</v>
      </c>
    </row>
    <row r="112" spans="1:35" x14ac:dyDescent="0.35">
      <c r="A112" t="s">
        <v>168</v>
      </c>
      <c r="B112" s="2">
        <v>51</v>
      </c>
      <c r="C112" s="2" t="s">
        <v>26</v>
      </c>
      <c r="D112" s="2" t="s">
        <v>27</v>
      </c>
      <c r="E112" s="2" t="s">
        <v>40</v>
      </c>
      <c r="F112" s="2">
        <v>1</v>
      </c>
      <c r="G112" s="2">
        <v>4</v>
      </c>
      <c r="H112" s="2" t="s">
        <v>31</v>
      </c>
      <c r="I112" s="2">
        <v>1</v>
      </c>
      <c r="J112" s="2" t="s">
        <v>24</v>
      </c>
      <c r="K112" s="2">
        <v>2</v>
      </c>
      <c r="L112" s="2">
        <v>3</v>
      </c>
      <c r="M112" s="2" t="s">
        <v>53</v>
      </c>
      <c r="N112" s="2">
        <v>1</v>
      </c>
      <c r="O112" s="2" t="s">
        <v>25</v>
      </c>
      <c r="P112" t="s">
        <v>49</v>
      </c>
      <c r="Q112" s="2" t="s">
        <v>46</v>
      </c>
      <c r="R112" s="2"/>
      <c r="S112" s="14">
        <v>7484</v>
      </c>
      <c r="T112" s="2">
        <v>3</v>
      </c>
      <c r="U112" s="2" t="s">
        <v>26</v>
      </c>
      <c r="V112" s="2">
        <v>4</v>
      </c>
      <c r="W112" s="2">
        <v>23</v>
      </c>
      <c r="X112" s="2">
        <v>1</v>
      </c>
      <c r="Y112" s="2">
        <v>2</v>
      </c>
      <c r="Z112" s="2">
        <v>13</v>
      </c>
      <c r="AA112" s="2">
        <v>12</v>
      </c>
      <c r="AB112" s="2">
        <v>12</v>
      </c>
      <c r="AC112" s="2">
        <v>8</v>
      </c>
      <c r="AD112" s="2">
        <f>IF(Table1[[#This Row],[Salary]]&lt;10000,2,0)</f>
        <v>2</v>
      </c>
      <c r="AE112" s="2">
        <f>IF(AND(Table1[[#This Row],[Tenure]]&gt;=2,Table1[[#This Row],[Tenure]]&lt;=4),2,0)</f>
        <v>0</v>
      </c>
      <c r="AF112" s="2">
        <f>IF(Table1[[#This Row],[PerformanceRating]]&lt;=2,3,0)</f>
        <v>0</v>
      </c>
      <c r="AG112" s="2">
        <f>IF(Table1[[#This Row],[OverTime]]="Yes",2,0)</f>
        <v>0</v>
      </c>
      <c r="AH112" s="2">
        <f>Table1[[#This Row],[Risk_Salary]]+Table1[[#This Row],[Risk_Tenure]]+Table1[[#This Row],[Risk_Performance]]+Table1[[#This Row],[Risk_Overtime]]</f>
        <v>2</v>
      </c>
      <c r="AI112" s="2" t="str">
        <f>IF(Table1[[#This Row],[Total_Risk_Score]]&gt;=6,"High",IF(Table1[[#This Row],[Total_Risk_Score]]&gt;=3,"Medium","Low"))</f>
        <v>Low</v>
      </c>
    </row>
    <row r="113" spans="1:35" x14ac:dyDescent="0.35">
      <c r="A113" t="s">
        <v>169</v>
      </c>
      <c r="B113" s="2">
        <v>34</v>
      </c>
      <c r="C113" s="2" t="s">
        <v>21</v>
      </c>
      <c r="D113" s="2" t="s">
        <v>27</v>
      </c>
      <c r="E113" s="2" t="s">
        <v>40</v>
      </c>
      <c r="F113" s="2">
        <v>7</v>
      </c>
      <c r="G113" s="2">
        <v>3</v>
      </c>
      <c r="H113" s="2" t="s">
        <v>23</v>
      </c>
      <c r="I113" s="2">
        <v>1</v>
      </c>
      <c r="J113" s="2" t="s">
        <v>28</v>
      </c>
      <c r="K113" s="2">
        <v>1</v>
      </c>
      <c r="L113" s="2">
        <v>2</v>
      </c>
      <c r="M113" s="2" t="s">
        <v>50</v>
      </c>
      <c r="N113" s="2">
        <v>3</v>
      </c>
      <c r="O113" s="2" t="s">
        <v>25</v>
      </c>
      <c r="P113" t="s">
        <v>49</v>
      </c>
      <c r="Q113" s="2" t="s">
        <v>45</v>
      </c>
      <c r="R113" s="2"/>
      <c r="S113" s="14">
        <v>6074</v>
      </c>
      <c r="T113" s="2">
        <v>1</v>
      </c>
      <c r="U113" s="2" t="s">
        <v>21</v>
      </c>
      <c r="V113" s="2">
        <v>1</v>
      </c>
      <c r="W113" s="2">
        <v>9</v>
      </c>
      <c r="X113" s="2">
        <v>3</v>
      </c>
      <c r="Y113" s="2">
        <v>3</v>
      </c>
      <c r="Z113" s="2">
        <v>9</v>
      </c>
      <c r="AA113" s="2">
        <v>7</v>
      </c>
      <c r="AB113" s="2">
        <v>0</v>
      </c>
      <c r="AC113" s="2">
        <v>6</v>
      </c>
      <c r="AD113" s="2">
        <f>IF(Table1[[#This Row],[Salary]]&lt;10000,2,0)</f>
        <v>2</v>
      </c>
      <c r="AE113" s="2">
        <f>IF(AND(Table1[[#This Row],[Tenure]]&gt;=2,Table1[[#This Row],[Tenure]]&lt;=4),2,0)</f>
        <v>0</v>
      </c>
      <c r="AF113" s="2">
        <f>IF(Table1[[#This Row],[PerformanceRating]]&lt;=2,3,0)</f>
        <v>3</v>
      </c>
      <c r="AG113" s="2">
        <f>IF(Table1[[#This Row],[OverTime]]="Yes",2,0)</f>
        <v>2</v>
      </c>
      <c r="AH113" s="2">
        <f>Table1[[#This Row],[Risk_Salary]]+Table1[[#This Row],[Risk_Tenure]]+Table1[[#This Row],[Risk_Performance]]+Table1[[#This Row],[Risk_Overtime]]</f>
        <v>7</v>
      </c>
      <c r="AI113" s="2" t="str">
        <f>IF(Table1[[#This Row],[Total_Risk_Score]]&gt;=6,"High",IF(Table1[[#This Row],[Total_Risk_Score]]&gt;=3,"Medium","Low"))</f>
        <v>High</v>
      </c>
    </row>
    <row r="114" spans="1:35" x14ac:dyDescent="0.35">
      <c r="A114" t="s">
        <v>170</v>
      </c>
      <c r="B114" s="2">
        <v>54</v>
      </c>
      <c r="C114" s="2" t="s">
        <v>26</v>
      </c>
      <c r="D114" s="2" t="s">
        <v>33</v>
      </c>
      <c r="E114" s="2" t="s">
        <v>41</v>
      </c>
      <c r="F114" s="2">
        <v>26</v>
      </c>
      <c r="G114" s="2">
        <v>3</v>
      </c>
      <c r="H114" s="2" t="s">
        <v>41</v>
      </c>
      <c r="I114" s="2">
        <v>4</v>
      </c>
      <c r="J114" s="2" t="s">
        <v>24</v>
      </c>
      <c r="K114" s="2">
        <v>4</v>
      </c>
      <c r="L114" s="2">
        <v>4</v>
      </c>
      <c r="M114" s="2" t="s">
        <v>51</v>
      </c>
      <c r="N114" s="2">
        <v>4</v>
      </c>
      <c r="O114" s="2" t="s">
        <v>25</v>
      </c>
      <c r="P114" t="s">
        <v>40</v>
      </c>
      <c r="Q114" s="2" t="s">
        <v>47</v>
      </c>
      <c r="R114" s="2"/>
      <c r="S114" s="14">
        <v>17328</v>
      </c>
      <c r="T114" s="2">
        <v>2</v>
      </c>
      <c r="U114" s="2" t="s">
        <v>21</v>
      </c>
      <c r="V114" s="2">
        <v>2</v>
      </c>
      <c r="W114" s="2">
        <v>23</v>
      </c>
      <c r="X114" s="2">
        <v>3</v>
      </c>
      <c r="Y114" s="2">
        <v>3</v>
      </c>
      <c r="Z114" s="2">
        <v>5</v>
      </c>
      <c r="AA114" s="2">
        <v>3</v>
      </c>
      <c r="AB114" s="2">
        <v>4</v>
      </c>
      <c r="AC114" s="2">
        <v>4</v>
      </c>
      <c r="AD114" s="2">
        <f>IF(Table1[[#This Row],[Salary]]&lt;10000,2,0)</f>
        <v>0</v>
      </c>
      <c r="AE114" s="2">
        <f>IF(AND(Table1[[#This Row],[Tenure]]&gt;=2,Table1[[#This Row],[Tenure]]&lt;=4),2,0)</f>
        <v>0</v>
      </c>
      <c r="AF114" s="2">
        <f>IF(Table1[[#This Row],[PerformanceRating]]&lt;=2,3,0)</f>
        <v>3</v>
      </c>
      <c r="AG114" s="2">
        <f>IF(Table1[[#This Row],[OverTime]]="Yes",2,0)</f>
        <v>2</v>
      </c>
      <c r="AH114" s="2">
        <f>Table1[[#This Row],[Risk_Salary]]+Table1[[#This Row],[Risk_Tenure]]+Table1[[#This Row],[Risk_Performance]]+Table1[[#This Row],[Risk_Overtime]]</f>
        <v>5</v>
      </c>
      <c r="AI114" s="2" t="str">
        <f>IF(Table1[[#This Row],[Total_Risk_Score]]&gt;=6,"High",IF(Table1[[#This Row],[Total_Risk_Score]]&gt;=3,"Medium","Low"))</f>
        <v>Medium</v>
      </c>
    </row>
    <row r="115" spans="1:35" x14ac:dyDescent="0.35">
      <c r="A115" t="s">
        <v>171</v>
      </c>
      <c r="B115" s="2">
        <v>24</v>
      </c>
      <c r="C115" s="2" t="s">
        <v>26</v>
      </c>
      <c r="D115" s="2" t="s">
        <v>22</v>
      </c>
      <c r="E115" s="2" t="s">
        <v>40</v>
      </c>
      <c r="F115" s="2">
        <v>18</v>
      </c>
      <c r="G115" s="2">
        <v>1</v>
      </c>
      <c r="H115" s="2" t="s">
        <v>23</v>
      </c>
      <c r="I115" s="2">
        <v>2</v>
      </c>
      <c r="J115" s="2" t="s">
        <v>28</v>
      </c>
      <c r="K115" s="2">
        <v>3</v>
      </c>
      <c r="L115" s="2">
        <v>1</v>
      </c>
      <c r="M115" s="2" t="s">
        <v>50</v>
      </c>
      <c r="N115" s="2">
        <v>3</v>
      </c>
      <c r="O115" s="2" t="s">
        <v>29</v>
      </c>
      <c r="P115" t="s">
        <v>40</v>
      </c>
      <c r="Q115" s="2" t="s">
        <v>46</v>
      </c>
      <c r="R115" s="2"/>
      <c r="S115" s="14">
        <v>2774</v>
      </c>
      <c r="T115" s="2">
        <v>0</v>
      </c>
      <c r="U115" s="2" t="s">
        <v>26</v>
      </c>
      <c r="V115" s="2">
        <v>3</v>
      </c>
      <c r="W115" s="2">
        <v>6</v>
      </c>
      <c r="X115" s="2">
        <v>2</v>
      </c>
      <c r="Y115" s="2">
        <v>3</v>
      </c>
      <c r="Z115" s="2">
        <v>5</v>
      </c>
      <c r="AA115" s="2">
        <v>3</v>
      </c>
      <c r="AB115" s="2">
        <v>1</v>
      </c>
      <c r="AC115" s="2">
        <v>2</v>
      </c>
      <c r="AD115" s="2">
        <f>IF(Table1[[#This Row],[Salary]]&lt;10000,2,0)</f>
        <v>2</v>
      </c>
      <c r="AE115" s="2">
        <f>IF(AND(Table1[[#This Row],[Tenure]]&gt;=2,Table1[[#This Row],[Tenure]]&lt;=4),2,0)</f>
        <v>0</v>
      </c>
      <c r="AF115" s="2">
        <f>IF(Table1[[#This Row],[PerformanceRating]]&lt;=2,3,0)</f>
        <v>0</v>
      </c>
      <c r="AG115" s="2">
        <f>IF(Table1[[#This Row],[OverTime]]="Yes",2,0)</f>
        <v>0</v>
      </c>
      <c r="AH115" s="2">
        <f>Table1[[#This Row],[Risk_Salary]]+Table1[[#This Row],[Risk_Tenure]]+Table1[[#This Row],[Risk_Performance]]+Table1[[#This Row],[Risk_Overtime]]</f>
        <v>2</v>
      </c>
      <c r="AI115" s="2" t="str">
        <f>IF(Table1[[#This Row],[Total_Risk_Score]]&gt;=6,"High",IF(Table1[[#This Row],[Total_Risk_Score]]&gt;=3,"Medium","Low"))</f>
        <v>Low</v>
      </c>
    </row>
    <row r="116" spans="1:35" x14ac:dyDescent="0.35">
      <c r="A116" t="s">
        <v>172</v>
      </c>
      <c r="B116" s="2">
        <v>34</v>
      </c>
      <c r="C116" s="2" t="s">
        <v>26</v>
      </c>
      <c r="D116" s="2" t="s">
        <v>22</v>
      </c>
      <c r="E116" s="2" t="s">
        <v>40</v>
      </c>
      <c r="F116" s="2">
        <v>6</v>
      </c>
      <c r="G116" s="2">
        <v>4</v>
      </c>
      <c r="H116" s="2" t="s">
        <v>23</v>
      </c>
      <c r="I116" s="2">
        <v>3</v>
      </c>
      <c r="J116" s="2" t="s">
        <v>24</v>
      </c>
      <c r="K116" s="2">
        <v>2</v>
      </c>
      <c r="L116" s="2">
        <v>2</v>
      </c>
      <c r="M116" s="2" t="s">
        <v>50</v>
      </c>
      <c r="N116" s="2">
        <v>2</v>
      </c>
      <c r="O116" s="2" t="s">
        <v>32</v>
      </c>
      <c r="P116" t="s">
        <v>39</v>
      </c>
      <c r="Q116" s="2" t="s">
        <v>48</v>
      </c>
      <c r="R116" s="2"/>
      <c r="S116" s="14">
        <v>4505</v>
      </c>
      <c r="T116" s="2">
        <v>6</v>
      </c>
      <c r="U116" s="2" t="s">
        <v>26</v>
      </c>
      <c r="V116" s="2">
        <v>3</v>
      </c>
      <c r="W116" s="2">
        <v>12</v>
      </c>
      <c r="X116" s="2">
        <v>3</v>
      </c>
      <c r="Y116" s="2">
        <v>3</v>
      </c>
      <c r="Z116" s="2">
        <v>1</v>
      </c>
      <c r="AA116" s="2">
        <v>0</v>
      </c>
      <c r="AB116" s="2">
        <v>0</v>
      </c>
      <c r="AC116" s="2">
        <v>0</v>
      </c>
      <c r="AD116" s="2">
        <f>IF(Table1[[#This Row],[Salary]]&lt;10000,2,0)</f>
        <v>2</v>
      </c>
      <c r="AE116" s="2">
        <f>IF(AND(Table1[[#This Row],[Tenure]]&gt;=2,Table1[[#This Row],[Tenure]]&lt;=4),2,0)</f>
        <v>0</v>
      </c>
      <c r="AF116" s="2">
        <f>IF(Table1[[#This Row],[PerformanceRating]]&lt;=2,3,0)</f>
        <v>0</v>
      </c>
      <c r="AG116" s="2">
        <f>IF(Table1[[#This Row],[OverTime]]="Yes",2,0)</f>
        <v>0</v>
      </c>
      <c r="AH116" s="2">
        <f>Table1[[#This Row],[Risk_Salary]]+Table1[[#This Row],[Risk_Tenure]]+Table1[[#This Row],[Risk_Performance]]+Table1[[#This Row],[Risk_Overtime]]</f>
        <v>2</v>
      </c>
      <c r="AI116" s="2" t="str">
        <f>IF(Table1[[#This Row],[Total_Risk_Score]]&gt;=6,"High",IF(Table1[[#This Row],[Total_Risk_Score]]&gt;=3,"Medium","Low"))</f>
        <v>Low</v>
      </c>
    </row>
    <row r="117" spans="1:35" x14ac:dyDescent="0.35">
      <c r="A117" t="s">
        <v>173</v>
      </c>
      <c r="B117" s="2">
        <v>37</v>
      </c>
      <c r="C117" s="2" t="s">
        <v>26</v>
      </c>
      <c r="D117" s="2" t="s">
        <v>22</v>
      </c>
      <c r="E117" s="2" t="s">
        <v>39</v>
      </c>
      <c r="F117" s="2">
        <v>3</v>
      </c>
      <c r="G117" s="2">
        <v>3</v>
      </c>
      <c r="H117" s="2" t="s">
        <v>23</v>
      </c>
      <c r="I117" s="2">
        <v>3</v>
      </c>
      <c r="J117" s="2" t="s">
        <v>28</v>
      </c>
      <c r="K117" s="2">
        <v>3</v>
      </c>
      <c r="L117" s="2">
        <v>3</v>
      </c>
      <c r="M117" s="2" t="s">
        <v>50</v>
      </c>
      <c r="N117" s="2">
        <v>4</v>
      </c>
      <c r="O117" s="2" t="s">
        <v>25</v>
      </c>
      <c r="P117" t="s">
        <v>39</v>
      </c>
      <c r="Q117" s="2" t="s">
        <v>47</v>
      </c>
      <c r="R117" s="2"/>
      <c r="S117" s="14">
        <v>7428</v>
      </c>
      <c r="T117" s="2">
        <v>2</v>
      </c>
      <c r="U117" s="2" t="s">
        <v>26</v>
      </c>
      <c r="V117" s="2">
        <v>3</v>
      </c>
      <c r="W117" s="2">
        <v>12</v>
      </c>
      <c r="X117" s="2">
        <v>3</v>
      </c>
      <c r="Y117" s="2">
        <v>3</v>
      </c>
      <c r="Z117" s="2">
        <v>5</v>
      </c>
      <c r="AA117" s="2">
        <v>3</v>
      </c>
      <c r="AB117" s="2">
        <v>1</v>
      </c>
      <c r="AC117" s="2">
        <v>3</v>
      </c>
      <c r="AD117" s="2">
        <f>IF(Table1[[#This Row],[Salary]]&lt;10000,2,0)</f>
        <v>2</v>
      </c>
      <c r="AE117" s="2">
        <f>IF(AND(Table1[[#This Row],[Tenure]]&gt;=2,Table1[[#This Row],[Tenure]]&lt;=4),2,0)</f>
        <v>0</v>
      </c>
      <c r="AF117" s="2">
        <f>IF(Table1[[#This Row],[PerformanceRating]]&lt;=2,3,0)</f>
        <v>0</v>
      </c>
      <c r="AG117" s="2">
        <f>IF(Table1[[#This Row],[OverTime]]="Yes",2,0)</f>
        <v>0</v>
      </c>
      <c r="AH117" s="2">
        <f>Table1[[#This Row],[Risk_Salary]]+Table1[[#This Row],[Risk_Tenure]]+Table1[[#This Row],[Risk_Performance]]+Table1[[#This Row],[Risk_Overtime]]</f>
        <v>2</v>
      </c>
      <c r="AI117" s="2" t="str">
        <f>IF(Table1[[#This Row],[Total_Risk_Score]]&gt;=6,"High",IF(Table1[[#This Row],[Total_Risk_Score]]&gt;=3,"Medium","Low"))</f>
        <v>Low</v>
      </c>
    </row>
    <row r="118" spans="1:35" x14ac:dyDescent="0.35">
      <c r="A118" t="s">
        <v>174</v>
      </c>
      <c r="B118" s="2">
        <v>34</v>
      </c>
      <c r="C118" s="2" t="s">
        <v>26</v>
      </c>
      <c r="D118" s="2" t="s">
        <v>22</v>
      </c>
      <c r="E118" s="2" t="s">
        <v>40</v>
      </c>
      <c r="F118" s="2">
        <v>5</v>
      </c>
      <c r="G118" s="2">
        <v>3</v>
      </c>
      <c r="H118" s="2" t="s">
        <v>31</v>
      </c>
      <c r="I118" s="2">
        <v>3</v>
      </c>
      <c r="J118" s="2" t="s">
        <v>24</v>
      </c>
      <c r="K118" s="2">
        <v>2</v>
      </c>
      <c r="L118" s="2">
        <v>3</v>
      </c>
      <c r="M118" s="2" t="s">
        <v>51</v>
      </c>
      <c r="N118" s="2">
        <v>1</v>
      </c>
      <c r="O118" s="2" t="s">
        <v>25</v>
      </c>
      <c r="P118" t="s">
        <v>40</v>
      </c>
      <c r="Q118" s="2" t="s">
        <v>47</v>
      </c>
      <c r="R118" s="2"/>
      <c r="S118" s="14">
        <v>11631</v>
      </c>
      <c r="T118" s="2">
        <v>2</v>
      </c>
      <c r="U118" s="2" t="s">
        <v>26</v>
      </c>
      <c r="V118" s="2">
        <v>3</v>
      </c>
      <c r="W118" s="2">
        <v>14</v>
      </c>
      <c r="X118" s="2">
        <v>6</v>
      </c>
      <c r="Y118" s="2">
        <v>3</v>
      </c>
      <c r="Z118" s="2">
        <v>11</v>
      </c>
      <c r="AA118" s="2">
        <v>10</v>
      </c>
      <c r="AB118" s="2">
        <v>5</v>
      </c>
      <c r="AC118" s="2">
        <v>8</v>
      </c>
      <c r="AD118" s="2">
        <f>IF(Table1[[#This Row],[Salary]]&lt;10000,2,0)</f>
        <v>0</v>
      </c>
      <c r="AE118" s="2">
        <f>IF(AND(Table1[[#This Row],[Tenure]]&gt;=2,Table1[[#This Row],[Tenure]]&lt;=4),2,0)</f>
        <v>0</v>
      </c>
      <c r="AF118" s="2">
        <f>IF(Table1[[#This Row],[PerformanceRating]]&lt;=2,3,0)</f>
        <v>0</v>
      </c>
      <c r="AG118" s="2">
        <f>IF(Table1[[#This Row],[OverTime]]="Yes",2,0)</f>
        <v>0</v>
      </c>
      <c r="AH118" s="2">
        <f>Table1[[#This Row],[Risk_Salary]]+Table1[[#This Row],[Risk_Tenure]]+Table1[[#This Row],[Risk_Performance]]+Table1[[#This Row],[Risk_Overtime]]</f>
        <v>0</v>
      </c>
      <c r="AI118" s="2" t="str">
        <f>IF(Table1[[#This Row],[Total_Risk_Score]]&gt;=6,"High",IF(Table1[[#This Row],[Total_Risk_Score]]&gt;=3,"Medium","Low"))</f>
        <v>Low</v>
      </c>
    </row>
    <row r="119" spans="1:35" x14ac:dyDescent="0.35">
      <c r="A119" t="s">
        <v>175</v>
      </c>
      <c r="B119" s="2">
        <v>36</v>
      </c>
      <c r="C119" s="2" t="s">
        <v>26</v>
      </c>
      <c r="D119" s="2" t="s">
        <v>27</v>
      </c>
      <c r="E119" s="2" t="s">
        <v>39</v>
      </c>
      <c r="F119" s="2">
        <v>11</v>
      </c>
      <c r="G119" s="2">
        <v>2</v>
      </c>
      <c r="H119" s="2" t="s">
        <v>35</v>
      </c>
      <c r="I119" s="2">
        <v>2</v>
      </c>
      <c r="J119" s="2" t="s">
        <v>24</v>
      </c>
      <c r="K119" s="2">
        <v>3</v>
      </c>
      <c r="L119" s="2">
        <v>3</v>
      </c>
      <c r="M119" s="2" t="s">
        <v>50</v>
      </c>
      <c r="N119" s="2">
        <v>4</v>
      </c>
      <c r="O119" s="2" t="s">
        <v>29</v>
      </c>
      <c r="P119" t="s">
        <v>49</v>
      </c>
      <c r="Q119" s="2" t="s">
        <v>48</v>
      </c>
      <c r="R119" s="2"/>
      <c r="S119" s="14">
        <v>9738</v>
      </c>
      <c r="T119" s="2">
        <v>0</v>
      </c>
      <c r="U119" s="2" t="s">
        <v>26</v>
      </c>
      <c r="V119" s="2">
        <v>3</v>
      </c>
      <c r="W119" s="2">
        <v>10</v>
      </c>
      <c r="X119" s="2">
        <v>6</v>
      </c>
      <c r="Y119" s="2">
        <v>3</v>
      </c>
      <c r="Z119" s="2">
        <v>9</v>
      </c>
      <c r="AA119" s="2">
        <v>7</v>
      </c>
      <c r="AB119" s="2">
        <v>2</v>
      </c>
      <c r="AC119" s="2">
        <v>8</v>
      </c>
      <c r="AD119" s="2">
        <f>IF(Table1[[#This Row],[Salary]]&lt;10000,2,0)</f>
        <v>2</v>
      </c>
      <c r="AE119" s="2">
        <f>IF(AND(Table1[[#This Row],[Tenure]]&gt;=2,Table1[[#This Row],[Tenure]]&lt;=4),2,0)</f>
        <v>0</v>
      </c>
      <c r="AF119" s="2">
        <f>IF(Table1[[#This Row],[PerformanceRating]]&lt;=2,3,0)</f>
        <v>0</v>
      </c>
      <c r="AG119" s="2">
        <f>IF(Table1[[#This Row],[OverTime]]="Yes",2,0)</f>
        <v>0</v>
      </c>
      <c r="AH119" s="2">
        <f>Table1[[#This Row],[Risk_Salary]]+Table1[[#This Row],[Risk_Tenure]]+Table1[[#This Row],[Risk_Performance]]+Table1[[#This Row],[Risk_Overtime]]</f>
        <v>2</v>
      </c>
      <c r="AI119" s="2" t="str">
        <f>IF(Table1[[#This Row],[Total_Risk_Score]]&gt;=6,"High",IF(Table1[[#This Row],[Total_Risk_Score]]&gt;=3,"Medium","Low"))</f>
        <v>Low</v>
      </c>
    </row>
    <row r="120" spans="1:35" x14ac:dyDescent="0.35">
      <c r="A120" t="s">
        <v>176</v>
      </c>
      <c r="B120" s="2">
        <v>36</v>
      </c>
      <c r="C120" s="2" t="s">
        <v>26</v>
      </c>
      <c r="D120" s="2" t="s">
        <v>22</v>
      </c>
      <c r="E120" s="2" t="s">
        <v>40</v>
      </c>
      <c r="F120" s="2">
        <v>3</v>
      </c>
      <c r="G120" s="2">
        <v>2</v>
      </c>
      <c r="H120" s="2" t="s">
        <v>23</v>
      </c>
      <c r="I120" s="2">
        <v>1</v>
      </c>
      <c r="J120" s="2" t="s">
        <v>24</v>
      </c>
      <c r="K120" s="2">
        <v>3</v>
      </c>
      <c r="L120" s="2">
        <v>1</v>
      </c>
      <c r="M120" s="2" t="s">
        <v>50</v>
      </c>
      <c r="N120" s="2">
        <v>4</v>
      </c>
      <c r="O120" s="2" t="s">
        <v>32</v>
      </c>
      <c r="P120" t="s">
        <v>39</v>
      </c>
      <c r="Q120" s="2" t="s">
        <v>45</v>
      </c>
      <c r="R120" s="2"/>
      <c r="S120" s="14">
        <v>2835</v>
      </c>
      <c r="T120" s="2">
        <v>5</v>
      </c>
      <c r="U120" s="2" t="s">
        <v>26</v>
      </c>
      <c r="V120" s="2">
        <v>4</v>
      </c>
      <c r="W120" s="2">
        <v>7</v>
      </c>
      <c r="X120" s="2">
        <v>2</v>
      </c>
      <c r="Y120" s="2">
        <v>3</v>
      </c>
      <c r="Z120" s="2">
        <v>1</v>
      </c>
      <c r="AA120" s="2">
        <v>0</v>
      </c>
      <c r="AB120" s="2">
        <v>0</v>
      </c>
      <c r="AC120" s="2">
        <v>0</v>
      </c>
      <c r="AD120" s="2">
        <f>IF(Table1[[#This Row],[Salary]]&lt;10000,2,0)</f>
        <v>2</v>
      </c>
      <c r="AE120" s="2">
        <f>IF(AND(Table1[[#This Row],[Tenure]]&gt;=2,Table1[[#This Row],[Tenure]]&lt;=4),2,0)</f>
        <v>0</v>
      </c>
      <c r="AF120" s="2">
        <f>IF(Table1[[#This Row],[PerformanceRating]]&lt;=2,3,0)</f>
        <v>0</v>
      </c>
      <c r="AG120" s="2">
        <f>IF(Table1[[#This Row],[OverTime]]="Yes",2,0)</f>
        <v>0</v>
      </c>
      <c r="AH120" s="2">
        <f>Table1[[#This Row],[Risk_Salary]]+Table1[[#This Row],[Risk_Tenure]]+Table1[[#This Row],[Risk_Performance]]+Table1[[#This Row],[Risk_Overtime]]</f>
        <v>2</v>
      </c>
      <c r="AI120" s="2" t="str">
        <f>IF(Table1[[#This Row],[Total_Risk_Score]]&gt;=6,"High",IF(Table1[[#This Row],[Total_Risk_Score]]&gt;=3,"Medium","Low"))</f>
        <v>Low</v>
      </c>
    </row>
    <row r="121" spans="1:35" x14ac:dyDescent="0.35">
      <c r="A121" t="s">
        <v>177</v>
      </c>
      <c r="B121" s="2">
        <v>43</v>
      </c>
      <c r="C121" s="2" t="s">
        <v>26</v>
      </c>
      <c r="D121" s="2" t="s">
        <v>27</v>
      </c>
      <c r="E121" s="2" t="s">
        <v>39</v>
      </c>
      <c r="F121" s="2">
        <v>26</v>
      </c>
      <c r="G121" s="2">
        <v>2</v>
      </c>
      <c r="H121" s="2" t="s">
        <v>23</v>
      </c>
      <c r="I121" s="2">
        <v>3</v>
      </c>
      <c r="J121" s="2" t="s">
        <v>28</v>
      </c>
      <c r="K121" s="2">
        <v>3</v>
      </c>
      <c r="L121" s="2">
        <v>4</v>
      </c>
      <c r="M121" s="2" t="s">
        <v>51</v>
      </c>
      <c r="N121" s="2">
        <v>4</v>
      </c>
      <c r="O121" s="2" t="s">
        <v>29</v>
      </c>
      <c r="P121" t="s">
        <v>39</v>
      </c>
      <c r="Q121" s="2" t="s">
        <v>47</v>
      </c>
      <c r="R121" s="2"/>
      <c r="S121" s="14">
        <v>16959</v>
      </c>
      <c r="T121" s="2">
        <v>1</v>
      </c>
      <c r="U121" s="2" t="s">
        <v>21</v>
      </c>
      <c r="V121" s="2">
        <v>3</v>
      </c>
      <c r="W121" s="2">
        <v>25</v>
      </c>
      <c r="X121" s="2">
        <v>3</v>
      </c>
      <c r="Y121" s="2">
        <v>4</v>
      </c>
      <c r="Z121" s="2">
        <v>25</v>
      </c>
      <c r="AA121" s="2">
        <v>12</v>
      </c>
      <c r="AB121" s="2">
        <v>4</v>
      </c>
      <c r="AC121" s="2">
        <v>12</v>
      </c>
      <c r="AD121" s="2">
        <f>IF(Table1[[#This Row],[Salary]]&lt;10000,2,0)</f>
        <v>0</v>
      </c>
      <c r="AE121" s="2">
        <f>IF(AND(Table1[[#This Row],[Tenure]]&gt;=2,Table1[[#This Row],[Tenure]]&lt;=4),2,0)</f>
        <v>0</v>
      </c>
      <c r="AF121" s="2">
        <f>IF(Table1[[#This Row],[PerformanceRating]]&lt;=2,3,0)</f>
        <v>0</v>
      </c>
      <c r="AG121" s="2">
        <f>IF(Table1[[#This Row],[OverTime]]="Yes",2,0)</f>
        <v>2</v>
      </c>
      <c r="AH121" s="2">
        <f>Table1[[#This Row],[Risk_Salary]]+Table1[[#This Row],[Risk_Tenure]]+Table1[[#This Row],[Risk_Performance]]+Table1[[#This Row],[Risk_Overtime]]</f>
        <v>2</v>
      </c>
      <c r="AI121" s="2" t="str">
        <f>IF(Table1[[#This Row],[Total_Risk_Score]]&gt;=6,"High",IF(Table1[[#This Row],[Total_Risk_Score]]&gt;=3,"Medium","Low"))</f>
        <v>Low</v>
      </c>
    </row>
    <row r="122" spans="1:35" x14ac:dyDescent="0.35">
      <c r="A122" t="s">
        <v>178</v>
      </c>
      <c r="B122" s="2">
        <v>30</v>
      </c>
      <c r="C122" s="2" t="s">
        <v>26</v>
      </c>
      <c r="D122" s="2" t="s">
        <v>27</v>
      </c>
      <c r="E122" s="2" t="s">
        <v>40</v>
      </c>
      <c r="F122" s="2">
        <v>23</v>
      </c>
      <c r="G122" s="2">
        <v>3</v>
      </c>
      <c r="H122" s="2" t="s">
        <v>23</v>
      </c>
      <c r="I122" s="2">
        <v>1</v>
      </c>
      <c r="J122" s="2" t="s">
        <v>28</v>
      </c>
      <c r="K122" s="2">
        <v>1</v>
      </c>
      <c r="L122" s="2">
        <v>1</v>
      </c>
      <c r="M122" s="2" t="s">
        <v>50</v>
      </c>
      <c r="N122" s="2">
        <v>3</v>
      </c>
      <c r="O122" s="2" t="s">
        <v>32</v>
      </c>
      <c r="P122" t="s">
        <v>49</v>
      </c>
      <c r="Q122" s="2" t="s">
        <v>46</v>
      </c>
      <c r="R122" s="2"/>
      <c r="S122" s="14">
        <v>2613</v>
      </c>
      <c r="T122" s="2">
        <v>1</v>
      </c>
      <c r="U122" s="2" t="s">
        <v>26</v>
      </c>
      <c r="V122" s="2">
        <v>4</v>
      </c>
      <c r="W122" s="2">
        <v>10</v>
      </c>
      <c r="X122" s="2">
        <v>2</v>
      </c>
      <c r="Y122" s="2">
        <v>2</v>
      </c>
      <c r="Z122" s="2">
        <v>10</v>
      </c>
      <c r="AA122" s="2">
        <v>7</v>
      </c>
      <c r="AB122" s="2">
        <v>0</v>
      </c>
      <c r="AC122" s="2">
        <v>9</v>
      </c>
      <c r="AD122" s="2">
        <f>IF(Table1[[#This Row],[Salary]]&lt;10000,2,0)</f>
        <v>2</v>
      </c>
      <c r="AE122" s="2">
        <f>IF(AND(Table1[[#This Row],[Tenure]]&gt;=2,Table1[[#This Row],[Tenure]]&lt;=4),2,0)</f>
        <v>0</v>
      </c>
      <c r="AF122" s="2">
        <f>IF(Table1[[#This Row],[PerformanceRating]]&lt;=2,3,0)</f>
        <v>0</v>
      </c>
      <c r="AG122" s="2">
        <f>IF(Table1[[#This Row],[OverTime]]="Yes",2,0)</f>
        <v>0</v>
      </c>
      <c r="AH122" s="2">
        <f>Table1[[#This Row],[Risk_Salary]]+Table1[[#This Row],[Risk_Tenure]]+Table1[[#This Row],[Risk_Performance]]+Table1[[#This Row],[Risk_Overtime]]</f>
        <v>2</v>
      </c>
      <c r="AI122" s="2" t="str">
        <f>IF(Table1[[#This Row],[Total_Risk_Score]]&gt;=6,"High",IF(Table1[[#This Row],[Total_Risk_Score]]&gt;=3,"Medium","Low"))</f>
        <v>Low</v>
      </c>
    </row>
    <row r="123" spans="1:35" x14ac:dyDescent="0.35">
      <c r="A123" t="s">
        <v>179</v>
      </c>
      <c r="B123" s="2">
        <v>33</v>
      </c>
      <c r="C123" s="2" t="s">
        <v>26</v>
      </c>
      <c r="D123" s="2" t="s">
        <v>33</v>
      </c>
      <c r="E123" s="2" t="s">
        <v>39</v>
      </c>
      <c r="F123" s="2">
        <v>22</v>
      </c>
      <c r="G123" s="2">
        <v>2</v>
      </c>
      <c r="H123" s="2" t="s">
        <v>34</v>
      </c>
      <c r="I123" s="2">
        <v>3</v>
      </c>
      <c r="J123" s="2" t="s">
        <v>28</v>
      </c>
      <c r="K123" s="2">
        <v>3</v>
      </c>
      <c r="L123" s="2">
        <v>2</v>
      </c>
      <c r="M123" s="2" t="s">
        <v>50</v>
      </c>
      <c r="N123" s="2">
        <v>2</v>
      </c>
      <c r="O123" s="2" t="s">
        <v>29</v>
      </c>
      <c r="P123" t="s">
        <v>49</v>
      </c>
      <c r="Q123" s="2" t="s">
        <v>48</v>
      </c>
      <c r="R123" s="2"/>
      <c r="S123" s="14">
        <v>6146</v>
      </c>
      <c r="T123" s="2">
        <v>0</v>
      </c>
      <c r="U123" s="2" t="s">
        <v>26</v>
      </c>
      <c r="V123" s="2">
        <v>3</v>
      </c>
      <c r="W123" s="2">
        <v>8</v>
      </c>
      <c r="X123" s="2">
        <v>2</v>
      </c>
      <c r="Y123" s="2">
        <v>4</v>
      </c>
      <c r="Z123" s="2">
        <v>7</v>
      </c>
      <c r="AA123" s="2">
        <v>7</v>
      </c>
      <c r="AB123" s="2">
        <v>0</v>
      </c>
      <c r="AC123" s="2">
        <v>7</v>
      </c>
      <c r="AD123" s="2">
        <f>IF(Table1[[#This Row],[Salary]]&lt;10000,2,0)</f>
        <v>2</v>
      </c>
      <c r="AE123" s="2">
        <f>IF(AND(Table1[[#This Row],[Tenure]]&gt;=2,Table1[[#This Row],[Tenure]]&lt;=4),2,0)</f>
        <v>0</v>
      </c>
      <c r="AF123" s="2">
        <f>IF(Table1[[#This Row],[PerformanceRating]]&lt;=2,3,0)</f>
        <v>0</v>
      </c>
      <c r="AG123" s="2">
        <f>IF(Table1[[#This Row],[OverTime]]="Yes",2,0)</f>
        <v>0</v>
      </c>
      <c r="AH123" s="2">
        <f>Table1[[#This Row],[Risk_Salary]]+Table1[[#This Row],[Risk_Tenure]]+Table1[[#This Row],[Risk_Performance]]+Table1[[#This Row],[Risk_Overtime]]</f>
        <v>2</v>
      </c>
      <c r="AI123" s="2" t="str">
        <f>IF(Table1[[#This Row],[Total_Risk_Score]]&gt;=6,"High",IF(Table1[[#This Row],[Total_Risk_Score]]&gt;=3,"Medium","Low"))</f>
        <v>Low</v>
      </c>
    </row>
    <row r="124" spans="1:35" x14ac:dyDescent="0.35">
      <c r="A124" t="s">
        <v>180</v>
      </c>
      <c r="B124" s="2">
        <v>56</v>
      </c>
      <c r="C124" s="2" t="s">
        <v>21</v>
      </c>
      <c r="D124" s="2" t="s">
        <v>22</v>
      </c>
      <c r="E124" s="2" t="s">
        <v>40</v>
      </c>
      <c r="F124" s="2">
        <v>14</v>
      </c>
      <c r="G124" s="2">
        <v>4</v>
      </c>
      <c r="H124" s="2" t="s">
        <v>23</v>
      </c>
      <c r="I124" s="2">
        <v>2</v>
      </c>
      <c r="J124" s="2" t="s">
        <v>24</v>
      </c>
      <c r="K124" s="2">
        <v>3</v>
      </c>
      <c r="L124" s="2">
        <v>1</v>
      </c>
      <c r="M124" s="2" t="s">
        <v>50</v>
      </c>
      <c r="N124" s="2">
        <v>2</v>
      </c>
      <c r="O124" s="2" t="s">
        <v>29</v>
      </c>
      <c r="P124" t="s">
        <v>40</v>
      </c>
      <c r="Q124" s="2" t="s">
        <v>47</v>
      </c>
      <c r="R124" s="2"/>
      <c r="S124" s="14">
        <v>4963</v>
      </c>
      <c r="T124" s="2">
        <v>9</v>
      </c>
      <c r="U124" s="2" t="s">
        <v>21</v>
      </c>
      <c r="V124" s="2">
        <v>3</v>
      </c>
      <c r="W124" s="2">
        <v>7</v>
      </c>
      <c r="X124" s="2">
        <v>2</v>
      </c>
      <c r="Y124" s="2">
        <v>3</v>
      </c>
      <c r="Z124" s="2">
        <v>5</v>
      </c>
      <c r="AA124" s="2">
        <v>4</v>
      </c>
      <c r="AB124" s="2">
        <v>4</v>
      </c>
      <c r="AC124" s="2">
        <v>3</v>
      </c>
      <c r="AD124" s="2">
        <f>IF(Table1[[#This Row],[Salary]]&lt;10000,2,0)</f>
        <v>2</v>
      </c>
      <c r="AE124" s="2">
        <f>IF(AND(Table1[[#This Row],[Tenure]]&gt;=2,Table1[[#This Row],[Tenure]]&lt;=4),2,0)</f>
        <v>0</v>
      </c>
      <c r="AF124" s="2">
        <f>IF(Table1[[#This Row],[PerformanceRating]]&lt;=2,3,0)</f>
        <v>0</v>
      </c>
      <c r="AG124" s="2">
        <f>IF(Table1[[#This Row],[OverTime]]="Yes",2,0)</f>
        <v>2</v>
      </c>
      <c r="AH124" s="2">
        <f>Table1[[#This Row],[Risk_Salary]]+Table1[[#This Row],[Risk_Tenure]]+Table1[[#This Row],[Risk_Performance]]+Table1[[#This Row],[Risk_Overtime]]</f>
        <v>4</v>
      </c>
      <c r="AI124" s="2" t="str">
        <f>IF(Table1[[#This Row],[Total_Risk_Score]]&gt;=6,"High",IF(Table1[[#This Row],[Total_Risk_Score]]&gt;=3,"Medium","Low"))</f>
        <v>Medium</v>
      </c>
    </row>
    <row r="125" spans="1:35" x14ac:dyDescent="0.35">
      <c r="A125" t="s">
        <v>181</v>
      </c>
      <c r="B125" s="2">
        <v>51</v>
      </c>
      <c r="C125" s="2" t="s">
        <v>26</v>
      </c>
      <c r="D125" s="2" t="s">
        <v>22</v>
      </c>
      <c r="E125" s="2" t="s">
        <v>40</v>
      </c>
      <c r="F125" s="2">
        <v>6</v>
      </c>
      <c r="G125" s="2">
        <v>3</v>
      </c>
      <c r="H125" s="2" t="s">
        <v>23</v>
      </c>
      <c r="I125" s="2">
        <v>1</v>
      </c>
      <c r="J125" s="2" t="s">
        <v>28</v>
      </c>
      <c r="K125" s="2">
        <v>3</v>
      </c>
      <c r="L125" s="2">
        <v>5</v>
      </c>
      <c r="M125" s="2" t="s">
        <v>53</v>
      </c>
      <c r="N125" s="2">
        <v>3</v>
      </c>
      <c r="O125" s="2" t="s">
        <v>25</v>
      </c>
      <c r="P125" t="s">
        <v>40</v>
      </c>
      <c r="Q125" s="2" t="s">
        <v>47</v>
      </c>
      <c r="R125" s="2"/>
      <c r="S125" s="14">
        <v>19537</v>
      </c>
      <c r="T125" s="2">
        <v>7</v>
      </c>
      <c r="U125" s="2" t="s">
        <v>26</v>
      </c>
      <c r="V125" s="2">
        <v>3</v>
      </c>
      <c r="W125" s="2">
        <v>23</v>
      </c>
      <c r="X125" s="2">
        <v>5</v>
      </c>
      <c r="Y125" s="2">
        <v>3</v>
      </c>
      <c r="Z125" s="2">
        <v>20</v>
      </c>
      <c r="AA125" s="2">
        <v>18</v>
      </c>
      <c r="AB125" s="2">
        <v>15</v>
      </c>
      <c r="AC125" s="2">
        <v>15</v>
      </c>
      <c r="AD125" s="2">
        <f>IF(Table1[[#This Row],[Salary]]&lt;10000,2,0)</f>
        <v>0</v>
      </c>
      <c r="AE125" s="2">
        <f>IF(AND(Table1[[#This Row],[Tenure]]&gt;=2,Table1[[#This Row],[Tenure]]&lt;=4),2,0)</f>
        <v>0</v>
      </c>
      <c r="AF125" s="2">
        <f>IF(Table1[[#This Row],[PerformanceRating]]&lt;=2,3,0)</f>
        <v>0</v>
      </c>
      <c r="AG125" s="2">
        <f>IF(Table1[[#This Row],[OverTime]]="Yes",2,0)</f>
        <v>0</v>
      </c>
      <c r="AH125" s="2">
        <f>Table1[[#This Row],[Risk_Salary]]+Table1[[#This Row],[Risk_Tenure]]+Table1[[#This Row],[Risk_Performance]]+Table1[[#This Row],[Risk_Overtime]]</f>
        <v>0</v>
      </c>
      <c r="AI125" s="2" t="str">
        <f>IF(Table1[[#This Row],[Total_Risk_Score]]&gt;=6,"High",IF(Table1[[#This Row],[Total_Risk_Score]]&gt;=3,"Medium","Low"))</f>
        <v>Low</v>
      </c>
    </row>
    <row r="126" spans="1:35" x14ac:dyDescent="0.35">
      <c r="A126" t="s">
        <v>182</v>
      </c>
      <c r="B126" s="2">
        <v>31</v>
      </c>
      <c r="C126" s="2" t="s">
        <v>21</v>
      </c>
      <c r="D126" s="2" t="s">
        <v>22</v>
      </c>
      <c r="E126" s="2" t="s">
        <v>39</v>
      </c>
      <c r="F126" s="2">
        <v>6</v>
      </c>
      <c r="G126" s="2">
        <v>4</v>
      </c>
      <c r="H126" s="2" t="s">
        <v>23</v>
      </c>
      <c r="I126" s="2">
        <v>2</v>
      </c>
      <c r="J126" s="2" t="s">
        <v>28</v>
      </c>
      <c r="K126" s="2">
        <v>1</v>
      </c>
      <c r="L126" s="2">
        <v>2</v>
      </c>
      <c r="M126" s="2" t="s">
        <v>50</v>
      </c>
      <c r="N126" s="2">
        <v>3</v>
      </c>
      <c r="O126" s="2" t="s">
        <v>29</v>
      </c>
      <c r="P126" t="s">
        <v>39</v>
      </c>
      <c r="Q126" s="2" t="s">
        <v>48</v>
      </c>
      <c r="R126" s="2"/>
      <c r="S126" s="14">
        <v>6172</v>
      </c>
      <c r="T126" s="2">
        <v>4</v>
      </c>
      <c r="U126" s="2" t="s">
        <v>21</v>
      </c>
      <c r="V126" s="2">
        <v>3</v>
      </c>
      <c r="W126" s="2">
        <v>12</v>
      </c>
      <c r="X126" s="2">
        <v>3</v>
      </c>
      <c r="Y126" s="2">
        <v>2</v>
      </c>
      <c r="Z126" s="2">
        <v>7</v>
      </c>
      <c r="AA126" s="2">
        <v>7</v>
      </c>
      <c r="AB126" s="2">
        <v>7</v>
      </c>
      <c r="AC126" s="2">
        <v>7</v>
      </c>
      <c r="AD126" s="2">
        <f>IF(Table1[[#This Row],[Salary]]&lt;10000,2,0)</f>
        <v>2</v>
      </c>
      <c r="AE126" s="2">
        <f>IF(AND(Table1[[#This Row],[Tenure]]&gt;=2,Table1[[#This Row],[Tenure]]&lt;=4),2,0)</f>
        <v>0</v>
      </c>
      <c r="AF126" s="2">
        <f>IF(Table1[[#This Row],[PerformanceRating]]&lt;=2,3,0)</f>
        <v>0</v>
      </c>
      <c r="AG126" s="2">
        <f>IF(Table1[[#This Row],[OverTime]]="Yes",2,0)</f>
        <v>2</v>
      </c>
      <c r="AH126" s="2">
        <f>Table1[[#This Row],[Risk_Salary]]+Table1[[#This Row],[Risk_Tenure]]+Table1[[#This Row],[Risk_Performance]]+Table1[[#This Row],[Risk_Overtime]]</f>
        <v>4</v>
      </c>
      <c r="AI126" s="2" t="str">
        <f>IF(Table1[[#This Row],[Total_Risk_Score]]&gt;=6,"High",IF(Table1[[#This Row],[Total_Risk_Score]]&gt;=3,"Medium","Low"))</f>
        <v>Medium</v>
      </c>
    </row>
    <row r="127" spans="1:35" x14ac:dyDescent="0.35">
      <c r="A127" t="s">
        <v>183</v>
      </c>
      <c r="B127" s="2">
        <v>26</v>
      </c>
      <c r="C127" s="2" t="s">
        <v>26</v>
      </c>
      <c r="D127" s="2" t="s">
        <v>22</v>
      </c>
      <c r="E127" s="2" t="s">
        <v>40</v>
      </c>
      <c r="F127" s="2">
        <v>6</v>
      </c>
      <c r="G127" s="2">
        <v>3</v>
      </c>
      <c r="H127" s="2" t="s">
        <v>30</v>
      </c>
      <c r="I127" s="2">
        <v>3</v>
      </c>
      <c r="J127" s="2" t="s">
        <v>24</v>
      </c>
      <c r="K127" s="2">
        <v>2</v>
      </c>
      <c r="L127" s="2">
        <v>1</v>
      </c>
      <c r="M127" s="2" t="s">
        <v>50</v>
      </c>
      <c r="N127" s="2">
        <v>2</v>
      </c>
      <c r="O127" s="2" t="s">
        <v>29</v>
      </c>
      <c r="P127" t="s">
        <v>49</v>
      </c>
      <c r="Q127" s="2" t="s">
        <v>45</v>
      </c>
      <c r="R127" s="2"/>
      <c r="S127" s="14">
        <v>2368</v>
      </c>
      <c r="T127" s="2">
        <v>1</v>
      </c>
      <c r="U127" s="2" t="s">
        <v>26</v>
      </c>
      <c r="V127" s="2">
        <v>3</v>
      </c>
      <c r="W127" s="2">
        <v>5</v>
      </c>
      <c r="X127" s="2">
        <v>3</v>
      </c>
      <c r="Y127" s="2">
        <v>2</v>
      </c>
      <c r="Z127" s="2">
        <v>5</v>
      </c>
      <c r="AA127" s="2">
        <v>4</v>
      </c>
      <c r="AB127" s="2">
        <v>4</v>
      </c>
      <c r="AC127" s="2">
        <v>3</v>
      </c>
      <c r="AD127" s="2">
        <f>IF(Table1[[#This Row],[Salary]]&lt;10000,2,0)</f>
        <v>2</v>
      </c>
      <c r="AE127" s="2">
        <f>IF(AND(Table1[[#This Row],[Tenure]]&gt;=2,Table1[[#This Row],[Tenure]]&lt;=4),2,0)</f>
        <v>0</v>
      </c>
      <c r="AF127" s="2">
        <f>IF(Table1[[#This Row],[PerformanceRating]]&lt;=2,3,0)</f>
        <v>0</v>
      </c>
      <c r="AG127" s="2">
        <f>IF(Table1[[#This Row],[OverTime]]="Yes",2,0)</f>
        <v>0</v>
      </c>
      <c r="AH127" s="2">
        <f>Table1[[#This Row],[Risk_Salary]]+Table1[[#This Row],[Risk_Tenure]]+Table1[[#This Row],[Risk_Performance]]+Table1[[#This Row],[Risk_Overtime]]</f>
        <v>2</v>
      </c>
      <c r="AI127" s="2" t="str">
        <f>IF(Table1[[#This Row],[Total_Risk_Score]]&gt;=6,"High",IF(Table1[[#This Row],[Total_Risk_Score]]&gt;=3,"Medium","Low"))</f>
        <v>Low</v>
      </c>
    </row>
    <row r="128" spans="1:35" x14ac:dyDescent="0.35">
      <c r="A128" t="s">
        <v>184</v>
      </c>
      <c r="B128" s="2">
        <v>58</v>
      </c>
      <c r="C128" s="2" t="s">
        <v>21</v>
      </c>
      <c r="D128" s="2" t="s">
        <v>22</v>
      </c>
      <c r="E128" s="2" t="s">
        <v>40</v>
      </c>
      <c r="F128" s="2">
        <v>23</v>
      </c>
      <c r="G128" s="2">
        <v>4</v>
      </c>
      <c r="H128" s="2" t="s">
        <v>31</v>
      </c>
      <c r="I128" s="2">
        <v>4</v>
      </c>
      <c r="J128" s="2" t="s">
        <v>24</v>
      </c>
      <c r="K128" s="2">
        <v>3</v>
      </c>
      <c r="L128" s="2">
        <v>3</v>
      </c>
      <c r="M128" s="2" t="s">
        <v>53</v>
      </c>
      <c r="N128" s="2">
        <v>4</v>
      </c>
      <c r="O128" s="2" t="s">
        <v>29</v>
      </c>
      <c r="P128" t="s">
        <v>49</v>
      </c>
      <c r="Q128" s="2" t="s">
        <v>47</v>
      </c>
      <c r="R128" s="2"/>
      <c r="S128" s="14">
        <v>10312</v>
      </c>
      <c r="T128" s="2">
        <v>1</v>
      </c>
      <c r="U128" s="2" t="s">
        <v>26</v>
      </c>
      <c r="V128" s="2">
        <v>3</v>
      </c>
      <c r="W128" s="2">
        <v>40</v>
      </c>
      <c r="X128" s="2">
        <v>3</v>
      </c>
      <c r="Y128" s="2">
        <v>2</v>
      </c>
      <c r="Z128" s="2">
        <v>40</v>
      </c>
      <c r="AA128" s="2">
        <v>10</v>
      </c>
      <c r="AB128" s="2">
        <v>15</v>
      </c>
      <c r="AC128" s="2">
        <v>6</v>
      </c>
      <c r="AD128" s="2">
        <f>IF(Table1[[#This Row],[Salary]]&lt;10000,2,0)</f>
        <v>0</v>
      </c>
      <c r="AE128" s="2">
        <f>IF(AND(Table1[[#This Row],[Tenure]]&gt;=2,Table1[[#This Row],[Tenure]]&lt;=4),2,0)</f>
        <v>0</v>
      </c>
      <c r="AF128" s="2">
        <f>IF(Table1[[#This Row],[PerformanceRating]]&lt;=2,3,0)</f>
        <v>0</v>
      </c>
      <c r="AG128" s="2">
        <f>IF(Table1[[#This Row],[OverTime]]="Yes",2,0)</f>
        <v>0</v>
      </c>
      <c r="AH128" s="2">
        <f>Table1[[#This Row],[Risk_Salary]]+Table1[[#This Row],[Risk_Tenure]]+Table1[[#This Row],[Risk_Performance]]+Table1[[#This Row],[Risk_Overtime]]</f>
        <v>0</v>
      </c>
      <c r="AI128" s="2" t="str">
        <f>IF(Table1[[#This Row],[Total_Risk_Score]]&gt;=6,"High",IF(Table1[[#This Row],[Total_Risk_Score]]&gt;=3,"Medium","Low"))</f>
        <v>Low</v>
      </c>
    </row>
    <row r="129" spans="1:35" x14ac:dyDescent="0.35">
      <c r="A129" t="s">
        <v>185</v>
      </c>
      <c r="B129" s="2">
        <v>19</v>
      </c>
      <c r="C129" s="2" t="s">
        <v>21</v>
      </c>
      <c r="D129" s="2" t="s">
        <v>22</v>
      </c>
      <c r="E129" s="2" t="s">
        <v>39</v>
      </c>
      <c r="F129" s="2">
        <v>22</v>
      </c>
      <c r="G129" s="2">
        <v>1</v>
      </c>
      <c r="H129" s="2" t="s">
        <v>34</v>
      </c>
      <c r="I129" s="2">
        <v>4</v>
      </c>
      <c r="J129" s="2" t="s">
        <v>28</v>
      </c>
      <c r="K129" s="2">
        <v>3</v>
      </c>
      <c r="L129" s="2">
        <v>1</v>
      </c>
      <c r="M129" s="2" t="s">
        <v>53</v>
      </c>
      <c r="N129" s="2">
        <v>3</v>
      </c>
      <c r="O129" s="2" t="s">
        <v>25</v>
      </c>
      <c r="P129" t="s">
        <v>40</v>
      </c>
      <c r="Q129" s="2" t="s">
        <v>46</v>
      </c>
      <c r="R129" s="2"/>
      <c r="S129" s="14">
        <v>1675</v>
      </c>
      <c r="T129" s="2">
        <v>1</v>
      </c>
      <c r="U129" s="2" t="s">
        <v>21</v>
      </c>
      <c r="V129" s="2">
        <v>3</v>
      </c>
      <c r="W129" s="2">
        <v>0</v>
      </c>
      <c r="X129" s="2">
        <v>2</v>
      </c>
      <c r="Y129" s="2">
        <v>2</v>
      </c>
      <c r="Z129" s="2">
        <v>0</v>
      </c>
      <c r="AA129" s="2">
        <v>0</v>
      </c>
      <c r="AB129" s="2">
        <v>0</v>
      </c>
      <c r="AC129" s="2">
        <v>0</v>
      </c>
      <c r="AD129" s="2">
        <f>IF(Table1[[#This Row],[Salary]]&lt;10000,2,0)</f>
        <v>2</v>
      </c>
      <c r="AE129" s="2">
        <f>IF(AND(Table1[[#This Row],[Tenure]]&gt;=2,Table1[[#This Row],[Tenure]]&lt;=4),2,0)</f>
        <v>0</v>
      </c>
      <c r="AF129" s="2">
        <f>IF(Table1[[#This Row],[PerformanceRating]]&lt;=2,3,0)</f>
        <v>0</v>
      </c>
      <c r="AG129" s="2">
        <f>IF(Table1[[#This Row],[OverTime]]="Yes",2,0)</f>
        <v>2</v>
      </c>
      <c r="AH129" s="2">
        <f>Table1[[#This Row],[Risk_Salary]]+Table1[[#This Row],[Risk_Tenure]]+Table1[[#This Row],[Risk_Performance]]+Table1[[#This Row],[Risk_Overtime]]</f>
        <v>4</v>
      </c>
      <c r="AI129" s="2" t="str">
        <f>IF(Table1[[#This Row],[Total_Risk_Score]]&gt;=6,"High",IF(Table1[[#This Row],[Total_Risk_Score]]&gt;=3,"Medium","Low"))</f>
        <v>Medium</v>
      </c>
    </row>
    <row r="130" spans="1:35" x14ac:dyDescent="0.35">
      <c r="A130" t="s">
        <v>186</v>
      </c>
      <c r="B130" s="2">
        <v>22</v>
      </c>
      <c r="C130" s="2" t="s">
        <v>26</v>
      </c>
      <c r="D130" s="2" t="s">
        <v>22</v>
      </c>
      <c r="E130" s="2" t="s">
        <v>40</v>
      </c>
      <c r="F130" s="2">
        <v>2</v>
      </c>
      <c r="G130" s="2">
        <v>1</v>
      </c>
      <c r="H130" s="2" t="s">
        <v>35</v>
      </c>
      <c r="I130" s="2">
        <v>3</v>
      </c>
      <c r="J130" s="2" t="s">
        <v>28</v>
      </c>
      <c r="K130" s="2">
        <v>3</v>
      </c>
      <c r="L130" s="2">
        <v>1</v>
      </c>
      <c r="M130" s="2" t="s">
        <v>50</v>
      </c>
      <c r="N130" s="2">
        <v>4</v>
      </c>
      <c r="O130" s="2" t="s">
        <v>29</v>
      </c>
      <c r="P130" t="s">
        <v>40</v>
      </c>
      <c r="Q130" s="2" t="s">
        <v>48</v>
      </c>
      <c r="R130" s="2"/>
      <c r="S130" s="14">
        <v>2523</v>
      </c>
      <c r="T130" s="2">
        <v>0</v>
      </c>
      <c r="U130" s="2" t="s">
        <v>26</v>
      </c>
      <c r="V130" s="2">
        <v>3</v>
      </c>
      <c r="W130" s="2">
        <v>3</v>
      </c>
      <c r="X130" s="2">
        <v>2</v>
      </c>
      <c r="Y130" s="2">
        <v>3</v>
      </c>
      <c r="Z130" s="2">
        <v>2</v>
      </c>
      <c r="AA130" s="2">
        <v>1</v>
      </c>
      <c r="AB130" s="2">
        <v>2</v>
      </c>
      <c r="AC130" s="2">
        <v>1</v>
      </c>
      <c r="AD130" s="2">
        <f>IF(Table1[[#This Row],[Salary]]&lt;10000,2,0)</f>
        <v>2</v>
      </c>
      <c r="AE130" s="2">
        <f>IF(AND(Table1[[#This Row],[Tenure]]&gt;=2,Table1[[#This Row],[Tenure]]&lt;=4),2,0)</f>
        <v>2</v>
      </c>
      <c r="AF130" s="2">
        <f>IF(Table1[[#This Row],[PerformanceRating]]&lt;=2,3,0)</f>
        <v>0</v>
      </c>
      <c r="AG130" s="2">
        <f>IF(Table1[[#This Row],[OverTime]]="Yes",2,0)</f>
        <v>0</v>
      </c>
      <c r="AH130" s="2">
        <f>Table1[[#This Row],[Risk_Salary]]+Table1[[#This Row],[Risk_Tenure]]+Table1[[#This Row],[Risk_Performance]]+Table1[[#This Row],[Risk_Overtime]]</f>
        <v>4</v>
      </c>
      <c r="AI130" s="2" t="str">
        <f>IF(Table1[[#This Row],[Total_Risk_Score]]&gt;=6,"High",IF(Table1[[#This Row],[Total_Risk_Score]]&gt;=3,"Medium","Low"))</f>
        <v>Medium</v>
      </c>
    </row>
    <row r="131" spans="1:35" ht="18.5" customHeight="1" x14ac:dyDescent="0.35">
      <c r="AD131" s="2"/>
      <c r="AE131" s="2"/>
      <c r="AF131" s="2"/>
      <c r="AG131" s="2"/>
      <c r="AH131" s="2"/>
      <c r="AI131"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 Dashboard</vt:lpstr>
      <vt:lpstr>Insights &amp; Recommendations</vt:lpstr>
      <vt:lpstr>RISK vs ATTRITION</vt:lpstr>
      <vt:lpstr>Pivott</vt:lpstr>
      <vt:lpstr>EmployeeMaster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 !</dc:creator>
  <cp:lastModifiedBy>rose !</cp:lastModifiedBy>
  <dcterms:created xsi:type="dcterms:W3CDTF">2026-03-17T13:13:37Z</dcterms:created>
  <dcterms:modified xsi:type="dcterms:W3CDTF">2026-07-30T06:33:30Z</dcterms:modified>
</cp:coreProperties>
</file>